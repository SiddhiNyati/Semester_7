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sidhi/Desktop/"/>
    </mc:Choice>
  </mc:AlternateContent>
  <xr:revisionPtr revIDLastSave="0" documentId="13_ncr:1_{2D6A67E9-8BBA-F740-B5DF-D9D3FACD2B92}" xr6:coauthVersionLast="47" xr6:coauthVersionMax="47" xr10:uidLastSave="{00000000-0000-0000-0000-000000000000}"/>
  <bookViews>
    <workbookView xWindow="0" yWindow="0" windowWidth="28800" windowHeight="18000" firstSheet="1" activeTab="7" xr2:uid="{00000000-000D-0000-FFFF-FFFF00000000}"/>
  </bookViews>
  <sheets>
    <sheet name="Instructions" sheetId="6" r:id="rId1"/>
    <sheet name="1. Startup Costs" sheetId="7" r:id="rId2"/>
    <sheet name="2. Forecast P&amp;L" sheetId="10" r:id="rId3"/>
    <sheet name="3. Cash Flow" sheetId="2" r:id="rId4"/>
    <sheet name="4. Balance Sheet" sheetId="9" r:id="rId5"/>
    <sheet name="5. Break-Even Analysis" sheetId="8" r:id="rId6"/>
    <sheet name="6. COGS Calculator" sheetId="12" r:id="rId7"/>
    <sheet name="7. Salaries" sheetId="14" r:id="rId8"/>
  </sheets>
  <definedNames>
    <definedName name="_xlnm.Print_Area" localSheetId="1">'1. Startup Costs'!$A$1:$B$24</definedName>
    <definedName name="_xlnm.Print_Area" localSheetId="2">'2. Forecast P&amp;L'!$A$1:$N$28</definedName>
    <definedName name="_xlnm.Print_Area" localSheetId="3">'3. Cash Flow'!$A$1:$N$16</definedName>
    <definedName name="_xlnm.Print_Area" localSheetId="4">'4. Balance Sheet'!$A$1:$B$28</definedName>
    <definedName name="_xlnm.Print_Area" localSheetId="5">'5. Break-Even Analysis'!$A$1:$H$20</definedName>
    <definedName name="_xlnm.Print_Area" localSheetId="6">'6. COGS Calculator'!$A$1:$C$15</definedName>
    <definedName name="_xlnm.Print_Area" localSheetId="7">'7. Salaries'!$A$1:$M$15</definedName>
    <definedName name="_xlnm.Print_Area" localSheetId="0">Instructions!$A$3:$D$33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 i="14" l="1"/>
  <c r="M14" i="14"/>
  <c r="L14" i="14"/>
  <c r="K14" i="14"/>
  <c r="J14" i="14"/>
  <c r="I14" i="14"/>
  <c r="I15" i="14" s="1"/>
  <c r="H14" i="14"/>
  <c r="G14" i="14"/>
  <c r="E14" i="14"/>
  <c r="D14" i="14"/>
  <c r="C14" i="14"/>
  <c r="B14" i="14"/>
  <c r="B15" i="14" s="1"/>
  <c r="F14" i="14"/>
  <c r="F15" i="14" s="1"/>
  <c r="B10" i="10"/>
  <c r="B6" i="2" s="1"/>
  <c r="B15" i="10"/>
  <c r="B27" i="10" s="1"/>
  <c r="N13" i="10"/>
  <c r="B27" i="9"/>
  <c r="B21" i="9"/>
  <c r="B23" i="9" s="1"/>
  <c r="N19" i="10"/>
  <c r="M15" i="10"/>
  <c r="M10" i="10"/>
  <c r="M6" i="2" s="1"/>
  <c r="K15" i="10"/>
  <c r="K27" i="10" s="1"/>
  <c r="K10" i="10"/>
  <c r="K6" i="2" s="1"/>
  <c r="I15" i="10"/>
  <c r="I27" i="10" s="1"/>
  <c r="I10" i="10"/>
  <c r="I6" i="2" s="1"/>
  <c r="G15" i="10"/>
  <c r="G27" i="10" s="1"/>
  <c r="G10" i="10"/>
  <c r="G6" i="2" s="1"/>
  <c r="E15" i="10"/>
  <c r="E10" i="10"/>
  <c r="E6" i="2" s="1"/>
  <c r="C15" i="10"/>
  <c r="C10" i="10"/>
  <c r="C6" i="2" s="1"/>
  <c r="B12" i="12"/>
  <c r="H15" i="14"/>
  <c r="J15" i="14"/>
  <c r="K15" i="14"/>
  <c r="K24" i="10"/>
  <c r="K9" i="2" s="1"/>
  <c r="L15" i="14"/>
  <c r="M15" i="14"/>
  <c r="E15" i="14"/>
  <c r="G15" i="14"/>
  <c r="G24" i="10"/>
  <c r="G9" i="2" s="1"/>
  <c r="D15" i="14"/>
  <c r="D24" i="10"/>
  <c r="D9" i="2" s="1"/>
  <c r="C15" i="14"/>
  <c r="L24" i="10"/>
  <c r="L9" i="2" s="1"/>
  <c r="M24" i="10"/>
  <c r="M9" i="2" s="1"/>
  <c r="M13" i="2" s="1"/>
  <c r="C24" i="10"/>
  <c r="C9" i="2" s="1"/>
  <c r="E24" i="10"/>
  <c r="E9" i="2" s="1"/>
  <c r="F24" i="10"/>
  <c r="F9" i="2" s="1"/>
  <c r="H24" i="10"/>
  <c r="H9" i="2" s="1"/>
  <c r="I24" i="10"/>
  <c r="I9" i="2" s="1"/>
  <c r="J24" i="10"/>
  <c r="J9" i="2" s="1"/>
  <c r="B24" i="10"/>
  <c r="B9" i="2" s="1"/>
  <c r="B3" i="14"/>
  <c r="B3" i="10"/>
  <c r="C3" i="10" s="1"/>
  <c r="D3" i="10" s="1"/>
  <c r="E3" i="10" s="1"/>
  <c r="F3" i="10" s="1"/>
  <c r="G3" i="10" s="1"/>
  <c r="H3" i="10" s="1"/>
  <c r="I3" i="10" s="1"/>
  <c r="J3" i="10" s="1"/>
  <c r="K3" i="10" s="1"/>
  <c r="L3" i="10" s="1"/>
  <c r="M3" i="10" s="1"/>
  <c r="B3" i="2"/>
  <c r="C3" i="2"/>
  <c r="D3" i="2"/>
  <c r="E3" i="2"/>
  <c r="F3" i="2"/>
  <c r="G3" i="2"/>
  <c r="H3" i="2"/>
  <c r="I3" i="2"/>
  <c r="J3" i="2"/>
  <c r="K3" i="2"/>
  <c r="L3" i="2"/>
  <c r="M3" i="2"/>
  <c r="B8" i="2"/>
  <c r="M8" i="2"/>
  <c r="K8" i="2"/>
  <c r="H8" i="2"/>
  <c r="F8" i="2"/>
  <c r="L8" i="2"/>
  <c r="J8" i="2"/>
  <c r="I8" i="2"/>
  <c r="G8" i="2"/>
  <c r="E8" i="2"/>
  <c r="D8" i="2"/>
  <c r="C8" i="2"/>
  <c r="N22" i="10"/>
  <c r="B4" i="8"/>
  <c r="N12" i="10"/>
  <c r="N21" i="10"/>
  <c r="N20" i="10"/>
  <c r="N18" i="10"/>
  <c r="B20" i="7"/>
  <c r="B22" i="7"/>
  <c r="N13" i="2"/>
  <c r="N17" i="10"/>
  <c r="N5" i="10"/>
  <c r="D3" i="14" l="1"/>
  <c r="E3" i="14" s="1"/>
  <c r="F3" i="14" s="1"/>
  <c r="G3" i="14" s="1"/>
  <c r="H3" i="14" s="1"/>
  <c r="I3" i="14" s="1"/>
  <c r="J3" i="14" s="1"/>
  <c r="K3" i="14" s="1"/>
  <c r="L3" i="14" s="1"/>
  <c r="M3" i="14" s="1"/>
  <c r="G13" i="2"/>
  <c r="G15" i="2" s="1"/>
  <c r="H13" i="2"/>
  <c r="K13" i="2"/>
  <c r="K15" i="2" s="1"/>
  <c r="E13" i="2"/>
  <c r="E15" i="2" s="1"/>
  <c r="M26" i="10"/>
  <c r="M28" i="10" s="1"/>
  <c r="L13" i="2"/>
  <c r="J13" i="2"/>
  <c r="I13" i="2"/>
  <c r="I15" i="2" s="1"/>
  <c r="F13" i="2"/>
  <c r="E26" i="10"/>
  <c r="E28" i="10" s="1"/>
  <c r="D13" i="2"/>
  <c r="C13" i="2"/>
  <c r="C15" i="2" s="1"/>
  <c r="C26" i="10"/>
  <c r="C28" i="10" s="1"/>
  <c r="N24" i="10"/>
  <c r="B26" i="10"/>
  <c r="B28" i="10" s="1"/>
  <c r="B13" i="2"/>
  <c r="B15" i="2" s="1"/>
  <c r="B16" i="2" s="1"/>
  <c r="M15" i="2"/>
  <c r="E27" i="10"/>
  <c r="M27" i="10"/>
  <c r="K26" i="10"/>
  <c r="K28" i="10" s="1"/>
  <c r="I26" i="10"/>
  <c r="I28" i="10" s="1"/>
  <c r="C27" i="10"/>
  <c r="N15" i="10"/>
  <c r="G26" i="10"/>
  <c r="G28" i="10" s="1"/>
  <c r="B24" i="7"/>
  <c r="B23" i="7"/>
  <c r="D15" i="10"/>
  <c r="D10" i="10"/>
  <c r="F15" i="10"/>
  <c r="F10" i="10"/>
  <c r="F6" i="2" s="1"/>
  <c r="H15" i="10"/>
  <c r="H10" i="10"/>
  <c r="H6" i="2" s="1"/>
  <c r="J15" i="10"/>
  <c r="J10" i="10"/>
  <c r="J6" i="2" s="1"/>
  <c r="L15" i="10"/>
  <c r="L10" i="10"/>
  <c r="L6" i="2" s="1"/>
  <c r="H15" i="2" l="1"/>
  <c r="L15" i="2"/>
  <c r="F15" i="2"/>
  <c r="J15" i="2"/>
  <c r="N26" i="10"/>
  <c r="N28" i="10" s="1"/>
  <c r="B18" i="8"/>
  <c r="B15" i="8"/>
  <c r="B5" i="8"/>
  <c r="B6" i="8" s="1"/>
  <c r="B7" i="8" s="1"/>
  <c r="C16" i="2"/>
  <c r="D4" i="2" s="1"/>
  <c r="B11" i="8"/>
  <c r="N27" i="10"/>
  <c r="L27" i="10"/>
  <c r="L26" i="10"/>
  <c r="L28" i="10" s="1"/>
  <c r="J26" i="10"/>
  <c r="J28" i="10" s="1"/>
  <c r="J27" i="10"/>
  <c r="H26" i="10"/>
  <c r="H28" i="10" s="1"/>
  <c r="H27" i="10"/>
  <c r="F26" i="10"/>
  <c r="F28" i="10" s="1"/>
  <c r="F27" i="10"/>
  <c r="D6" i="2"/>
  <c r="N10" i="10"/>
  <c r="B12" i="8" s="1"/>
  <c r="D27" i="10"/>
  <c r="D26" i="10"/>
  <c r="D28" i="10" s="1"/>
  <c r="B26" i="9" l="1"/>
  <c r="B28" i="9" s="1"/>
  <c r="B13" i="8"/>
  <c r="B17" i="8" s="1"/>
  <c r="D15" i="2"/>
  <c r="D16" i="2" s="1"/>
  <c r="E4" i="2" s="1"/>
  <c r="E16" i="2" s="1"/>
  <c r="F4" i="2" s="1"/>
  <c r="F16" i="2" s="1"/>
  <c r="G4" i="2" s="1"/>
  <c r="G16" i="2" s="1"/>
  <c r="H4" i="2" s="1"/>
  <c r="H16" i="2" s="1"/>
  <c r="I4" i="2" s="1"/>
  <c r="I16" i="2" s="1"/>
  <c r="J4" i="2" s="1"/>
  <c r="J16" i="2" s="1"/>
  <c r="K4" i="2" s="1"/>
  <c r="K16" i="2" s="1"/>
  <c r="L4" i="2" s="1"/>
  <c r="L16" i="2" s="1"/>
  <c r="M4" i="2" s="1"/>
  <c r="M16" i="2" s="1"/>
  <c r="B5" i="9" s="1"/>
  <c r="B14" i="9" s="1"/>
  <c r="B24" i="9" s="1"/>
  <c r="N6" i="2"/>
  <c r="B19" i="8" l="1"/>
  <c r="B20" i="8" s="1"/>
</calcChain>
</file>

<file path=xl/sharedStrings.xml><?xml version="1.0" encoding="utf-8"?>
<sst xmlns="http://schemas.openxmlformats.org/spreadsheetml/2006/main" count="146" uniqueCount="133">
  <si>
    <t>EXAMPLE OF A FILLED UP FINANCIAL PLANNING &amp; FORECASTING TEMPLATE</t>
  </si>
  <si>
    <t>Context</t>
  </si>
  <si>
    <t>• Two students start a small t-shirt company. It is an e-commerce firm, and sales happen online through its website.
• The basic starting cost is the website design and development cost and the cost of office computers. We haven't considered a fixed deposit for office space since they'll be working out of college. The cost of a Chartered Accountant company registration is taken into account.
• The basic working capital is INR 150,000 and the total startup investment is INR 550,000. Half of the amount is invested by founders and the other half is interest-free loan from college and friends and family.
• The products being sold are only round neck t-shirts for now. These are printed with cool designs that are crowdsourced or designed by them. They keep rotating the design every 2-3 months.</t>
  </si>
  <si>
    <t xml:space="preserve">• COGS is INR 200. This includes t-shirt, printing, and packaging costs. The shipping cost is separate.
• The selling price is at INR 400. The major expenses are online marketing costs, founder’s salary, and early employees' salaries, server costs, and shipping charges.
• An extra inventory of 200 t-shirts is always bought in advance and held as a contingency from month four.
• The founders work all by themselves till month six, then they start adding employees. The total employee count at the end of the year is 4. Not including the founders.
• Break-even point is INR 2,60,000 per month. So, the students need to sell 650 t-shirts a month to break even.
• The founders start paying the loan back in month 11.
</t>
  </si>
  <si>
    <t>Starting costs</t>
  </si>
  <si>
    <t>Setting up the business</t>
  </si>
  <si>
    <t>Consultant Fees (Accountants, Lawyers etc.)</t>
  </si>
  <si>
    <t>Business Registration fees</t>
  </si>
  <si>
    <t>Website Design</t>
  </si>
  <si>
    <t>Computer Systems</t>
  </si>
  <si>
    <t>Other Start-Up Costs</t>
  </si>
  <si>
    <t>Equipment</t>
  </si>
  <si>
    <t>NA</t>
  </si>
  <si>
    <t>Starting operations</t>
  </si>
  <si>
    <t>Marketing and Promotional Costs</t>
  </si>
  <si>
    <t>Stationery and office supplies</t>
  </si>
  <si>
    <t>Working capital</t>
  </si>
  <si>
    <t>Start-up capital</t>
  </si>
  <si>
    <t>Equity investment (by Team)</t>
  </si>
  <si>
    <t>Loans (from College or Others)</t>
  </si>
  <si>
    <t>Total</t>
  </si>
  <si>
    <t>Totals</t>
  </si>
  <si>
    <t>Total set-up costs</t>
  </si>
  <si>
    <t>Surplus Funds</t>
  </si>
  <si>
    <t>Additional Funds You Need</t>
  </si>
  <si>
    <t>Profit and loss forecast</t>
  </si>
  <si>
    <t>Sales</t>
  </si>
  <si>
    <t>Cash Sales</t>
  </si>
  <si>
    <t>Collections from Accounts Receivable</t>
  </si>
  <si>
    <t>No. of Units Sold</t>
  </si>
  <si>
    <t>Price Per Unit</t>
  </si>
  <si>
    <t>Other Cash Receipts</t>
  </si>
  <si>
    <t>Total Sales</t>
  </si>
  <si>
    <t>COGS</t>
  </si>
  <si>
    <t>Cost of Goods Sold</t>
  </si>
  <si>
    <t>Additional Inventories</t>
  </si>
  <si>
    <t>Cost per unit</t>
  </si>
  <si>
    <t>Gross profit</t>
  </si>
  <si>
    <t>Operating Expenses</t>
  </si>
  <si>
    <t>Salaries and Consultant Fees</t>
  </si>
  <si>
    <t>Marketing and Promotion</t>
  </si>
  <si>
    <t>Misc. Expenses</t>
  </si>
  <si>
    <t>Total Expenses</t>
  </si>
  <si>
    <t>Result</t>
  </si>
  <si>
    <t>Net Profit/Loss</t>
  </si>
  <si>
    <t>Gross Profit Margin</t>
  </si>
  <si>
    <t>Net Profit Margin</t>
  </si>
  <si>
    <t>`</t>
  </si>
  <si>
    <t>Cash flow forecast</t>
  </si>
  <si>
    <t>Starting Cash Position</t>
  </si>
  <si>
    <t>Cash Inflows</t>
  </si>
  <si>
    <t>Cash Outflows</t>
  </si>
  <si>
    <t>Cost Of Goods Sold</t>
  </si>
  <si>
    <t>New Fixed Assets Purchased</t>
  </si>
  <si>
    <t>Additional Inventories Purchased</t>
  </si>
  <si>
    <t>Loan Payments</t>
  </si>
  <si>
    <t>Change during month</t>
  </si>
  <si>
    <t>Closing cash position</t>
  </si>
  <si>
    <t xml:space="preserve">Balance sheet forecast </t>
  </si>
  <si>
    <t>The numbers reflected on this Balance Sheet are computed as of:</t>
  </si>
  <si>
    <t>Assets</t>
  </si>
  <si>
    <t>Current assets</t>
  </si>
  <si>
    <t xml:space="preserve">Cash </t>
  </si>
  <si>
    <t xml:space="preserve">Petty cash </t>
  </si>
  <si>
    <t xml:space="preserve">Accounts Receivable </t>
  </si>
  <si>
    <t>Stock on hand (Inventory)</t>
  </si>
  <si>
    <t>Other Assets</t>
  </si>
  <si>
    <t>Fixed assets</t>
  </si>
  <si>
    <t xml:space="preserve">Equipment </t>
  </si>
  <si>
    <t xml:space="preserve">Furniture </t>
  </si>
  <si>
    <t>Other Fixed Assets</t>
  </si>
  <si>
    <t>Total assets</t>
  </si>
  <si>
    <t>Liabilities</t>
  </si>
  <si>
    <t>Current liabilities</t>
  </si>
  <si>
    <t xml:space="preserve">Accounts payable </t>
  </si>
  <si>
    <t xml:space="preserve">Interest payable </t>
  </si>
  <si>
    <t>Any Other Amounts Owed</t>
  </si>
  <si>
    <t>Long-term liabilities</t>
  </si>
  <si>
    <t>Loans from College</t>
  </si>
  <si>
    <t>Loans from Friends and Family</t>
  </si>
  <si>
    <t xml:space="preserve">Total liabilities </t>
  </si>
  <si>
    <t>Net assets</t>
  </si>
  <si>
    <t>Founder's equity</t>
  </si>
  <si>
    <t>Retained Earnings</t>
  </si>
  <si>
    <t>Share Capital</t>
  </si>
  <si>
    <t>Total equity (should equal net assets)</t>
  </si>
  <si>
    <t>Break-even analysis</t>
  </si>
  <si>
    <t>Average sales price per unit</t>
  </si>
  <si>
    <t>Average cost of each unit</t>
  </si>
  <si>
    <t>Fixed costs</t>
  </si>
  <si>
    <t>Sales required to break even</t>
  </si>
  <si>
    <t>Number of unit sales to break even</t>
  </si>
  <si>
    <t xml:space="preserve">Gross Margin % of Sales </t>
  </si>
  <si>
    <t>Gross Margin</t>
  </si>
  <si>
    <t>Gross Margin/Total Sales</t>
  </si>
  <si>
    <t xml:space="preserve">Total Fixed Expenses </t>
  </si>
  <si>
    <t>Breakeven Sales in Dollars (Annual)</t>
  </si>
  <si>
    <t>Gross Margin % of Sales</t>
  </si>
  <si>
    <t>Yearly Breakeven Amount</t>
  </si>
  <si>
    <t>Monthly Breakeven Amount</t>
  </si>
  <si>
    <t>Variable Costs of Products</t>
  </si>
  <si>
    <t>Timeframe:</t>
  </si>
  <si>
    <t>Month</t>
  </si>
  <si>
    <t>Product Line:</t>
  </si>
  <si>
    <t>Widget</t>
  </si>
  <si>
    <t xml:space="preserve">Total Product Expenses </t>
  </si>
  <si>
    <t>Number Units Sold During Timeframe</t>
  </si>
  <si>
    <t>Cost of Goods Sold (COGS) Per Unit</t>
  </si>
  <si>
    <t>Salaries</t>
  </si>
  <si>
    <t>Employee Salaries</t>
  </si>
  <si>
    <t>Total Salaries</t>
  </si>
  <si>
    <t>Office/Admin</t>
  </si>
  <si>
    <t>Volunteer Perks</t>
  </si>
  <si>
    <t xml:space="preserve">Website Development &amp; Design </t>
  </si>
  <si>
    <t xml:space="preserve">Research </t>
  </si>
  <si>
    <t>Trip Captain</t>
  </si>
  <si>
    <t>Transport</t>
  </si>
  <si>
    <t xml:space="preserve">Food </t>
  </si>
  <si>
    <t>Hotel/Homestay</t>
  </si>
  <si>
    <t>Cafe Booking for event</t>
  </si>
  <si>
    <t>Activities Cost</t>
  </si>
  <si>
    <t>Misc.</t>
  </si>
  <si>
    <t>Team captain</t>
  </si>
  <si>
    <t xml:space="preserve">Volunteer </t>
  </si>
  <si>
    <t>Founder 1 (Siddhi)</t>
  </si>
  <si>
    <t>Founder 2 (Riya)</t>
  </si>
  <si>
    <t>Founder 3 (Chaitanya)</t>
  </si>
  <si>
    <t>Sales Executive</t>
  </si>
  <si>
    <t>Social Media Manager</t>
  </si>
  <si>
    <t>Operations Manager</t>
  </si>
  <si>
    <t>Team Captain</t>
  </si>
  <si>
    <t>Graphic designer</t>
  </si>
  <si>
    <t>Website (Tech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</si>
</sst>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quot;$&quot;#,##0;\-&quot;$&quot;#,##0"/>
    <numFmt numFmtId="165" formatCode="_-&quot;$&quot;* #,##0.00_-;\-&quot;$&quot;* #,##0.00_-;_-&quot;$&quot;* &quot;-&quot;??_-;_-@_-"/>
    <numFmt numFmtId="166" formatCode="_-* #,##0.00_-;\-* #,##0.00_-;_-* &quot;-&quot;??_-;_-@_-"/>
    <numFmt numFmtId="167" formatCode="mmm"/>
    <numFmt numFmtId="168" formatCode="&quot;$&quot;#,##0.00"/>
    <numFmt numFmtId="169" formatCode="&quot;$&quot;#,##0"/>
    <numFmt numFmtId="170" formatCode="#,##0_ ;\-#,##0\ "/>
    <numFmt numFmtId="171" formatCode="0.0%"/>
    <numFmt numFmtId="172" formatCode="mmm\ \'yy"/>
    <numFmt numFmtId="173" formatCode="[$-409]mmmm\ d\,\ yyyy;@"/>
    <numFmt numFmtId="174" formatCode="[$-409]d\-mmm\-yy;@"/>
  </numFmts>
  <fonts count="29" x14ac:knownFonts="1">
    <font>
      <sz val="10"/>
      <name val="Arial"/>
    </font>
    <font>
      <sz val="10"/>
      <name val="Arial"/>
      <family val="2"/>
    </font>
    <font>
      <sz val="8"/>
      <name val="Arial"/>
      <family val="2"/>
    </font>
    <font>
      <b/>
      <sz val="10"/>
      <name val="Arial"/>
      <family val="2"/>
    </font>
    <font>
      <b/>
      <sz val="12"/>
      <name val="Arial"/>
      <family val="2"/>
    </font>
    <font>
      <b/>
      <sz val="8"/>
      <name val="Arial"/>
      <family val="2"/>
    </font>
    <font>
      <sz val="8"/>
      <name val="Arial"/>
      <family val="2"/>
    </font>
    <font>
      <sz val="10"/>
      <name val="Arial"/>
      <family val="2"/>
    </font>
    <font>
      <b/>
      <sz val="10"/>
      <color indexed="8"/>
      <name val="Arial"/>
      <family val="2"/>
    </font>
    <font>
      <sz val="8"/>
      <color indexed="44"/>
      <name val="Arial"/>
      <family val="2"/>
    </font>
    <font>
      <sz val="9"/>
      <name val="Arial"/>
      <family val="2"/>
    </font>
    <font>
      <b/>
      <sz val="9"/>
      <name val="Arial"/>
      <family val="2"/>
    </font>
    <font>
      <sz val="8"/>
      <color indexed="22"/>
      <name val="Arial"/>
      <family val="2"/>
    </font>
    <font>
      <b/>
      <sz val="8"/>
      <color indexed="22"/>
      <name val="Arial"/>
      <family val="2"/>
    </font>
    <font>
      <b/>
      <sz val="8"/>
      <color indexed="12"/>
      <name val="Arial"/>
      <family val="2"/>
    </font>
    <font>
      <sz val="8"/>
      <name val="Arial"/>
      <family val="2"/>
    </font>
    <font>
      <b/>
      <sz val="11"/>
      <name val="Gill Sans MT"/>
      <family val="2"/>
    </font>
    <font>
      <sz val="9"/>
      <name val="Gill Sans MT"/>
      <family val="2"/>
    </font>
    <font>
      <b/>
      <sz val="9"/>
      <name val="Gill Sans MT"/>
      <family val="2"/>
    </font>
    <font>
      <sz val="9"/>
      <color indexed="9"/>
      <name val="Gill Sans MT"/>
      <family val="2"/>
    </font>
    <font>
      <sz val="9"/>
      <color indexed="8"/>
      <name val="Gill Sans MT"/>
      <family val="2"/>
    </font>
    <font>
      <sz val="12"/>
      <name val="Arial"/>
      <family val="2"/>
    </font>
    <font>
      <b/>
      <sz val="15"/>
      <color theme="3"/>
      <name val="Calibri"/>
      <family val="2"/>
      <scheme val="minor"/>
    </font>
    <font>
      <sz val="9"/>
      <color theme="1"/>
      <name val="Gill Sans MT"/>
      <family val="2"/>
    </font>
    <font>
      <sz val="9"/>
      <color rgb="FFFF0000"/>
      <name val="Arial"/>
      <family val="2"/>
    </font>
    <font>
      <b/>
      <sz val="18"/>
      <color theme="1" tint="0.499984740745262"/>
      <name val="Arial"/>
      <family val="2"/>
    </font>
    <font>
      <sz val="12"/>
      <color rgb="FFFF0000"/>
      <name val="Arial"/>
      <family val="2"/>
    </font>
    <font>
      <b/>
      <sz val="9"/>
      <color theme="1"/>
      <name val="Gill Sans MT"/>
      <family val="2"/>
    </font>
    <font>
      <b/>
      <sz val="9"/>
      <color theme="3"/>
      <name val="Gill Sans MT"/>
      <family val="2"/>
    </font>
  </fonts>
  <fills count="12">
    <fill>
      <patternFill patternType="none"/>
    </fill>
    <fill>
      <patternFill patternType="gray125"/>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9"/>
        <bgColor indexed="64"/>
      </patternFill>
    </fill>
    <fill>
      <patternFill patternType="solid">
        <fgColor indexed="43"/>
        <bgColor indexed="64"/>
      </patternFill>
    </fill>
    <fill>
      <patternFill patternType="solid">
        <fgColor indexed="51"/>
        <bgColor indexed="64"/>
      </patternFill>
    </fill>
    <fill>
      <patternFill patternType="solid">
        <fgColor rgb="FFFFC95B"/>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45">
    <border>
      <left/>
      <right/>
      <top/>
      <bottom/>
      <diagonal/>
    </border>
    <border>
      <left/>
      <right/>
      <top style="thin">
        <color indexed="55"/>
      </top>
      <bottom style="thin">
        <color indexed="55"/>
      </bottom>
      <diagonal/>
    </border>
    <border>
      <left style="thin">
        <color indexed="55"/>
      </left>
      <right style="thin">
        <color indexed="55"/>
      </right>
      <top style="thin">
        <color indexed="55"/>
      </top>
      <bottom/>
      <diagonal/>
    </border>
    <border>
      <left style="medium">
        <color indexed="55"/>
      </left>
      <right/>
      <top style="thin">
        <color indexed="22"/>
      </top>
      <bottom style="thin">
        <color indexed="22"/>
      </bottom>
      <diagonal/>
    </border>
    <border>
      <left/>
      <right/>
      <top/>
      <bottom style="thin">
        <color indexed="55"/>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55"/>
      </top>
      <bottom/>
      <diagonal/>
    </border>
    <border>
      <left style="thin">
        <color indexed="8"/>
      </left>
      <right style="thin">
        <color indexed="8"/>
      </right>
      <top style="thin">
        <color indexed="8"/>
      </top>
      <bottom style="thin">
        <color indexed="8"/>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style="thin">
        <color indexed="55"/>
      </bottom>
      <diagonal/>
    </border>
    <border>
      <left/>
      <right/>
      <top style="thin">
        <color indexed="22"/>
      </top>
      <bottom style="thin">
        <color indexed="22"/>
      </bottom>
      <diagonal/>
    </border>
    <border>
      <left/>
      <right style="thin">
        <color indexed="55"/>
      </right>
      <top style="thin">
        <color indexed="55"/>
      </top>
      <bottom style="thin">
        <color indexed="55"/>
      </bottom>
      <diagonal/>
    </border>
    <border>
      <left style="medium">
        <color indexed="55"/>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indexed="22"/>
      </top>
      <bottom/>
      <diagonal/>
    </border>
    <border>
      <left/>
      <right/>
      <top/>
      <bottom style="thin">
        <color indexed="22"/>
      </bottom>
      <diagonal/>
    </border>
    <border>
      <left style="thin">
        <color indexed="64"/>
      </left>
      <right style="thin">
        <color indexed="8"/>
      </right>
      <top style="thin">
        <color indexed="8"/>
      </top>
      <bottom style="thin">
        <color indexed="8"/>
      </bottom>
      <diagonal/>
    </border>
    <border>
      <left style="thin">
        <color indexed="64"/>
      </left>
      <right style="thin">
        <color indexed="55"/>
      </right>
      <top style="thin">
        <color indexed="55"/>
      </top>
      <bottom style="thin">
        <color indexed="55"/>
      </bottom>
      <diagonal/>
    </border>
    <border>
      <left/>
      <right style="thin">
        <color indexed="55"/>
      </right>
      <top/>
      <bottom/>
      <diagonal/>
    </border>
    <border>
      <left style="thin">
        <color indexed="55"/>
      </left>
      <right style="thin">
        <color indexed="64"/>
      </right>
      <top style="thin">
        <color indexed="55"/>
      </top>
      <bottom style="thin">
        <color indexed="55"/>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style="thin">
        <color indexed="64"/>
      </right>
      <top style="thin">
        <color indexed="64"/>
      </top>
      <bottom style="thin">
        <color indexed="8"/>
      </bottom>
      <diagonal/>
    </border>
    <border>
      <left style="thin">
        <color indexed="64"/>
      </left>
      <right style="thin">
        <color indexed="55"/>
      </right>
      <top/>
      <bottom style="thin">
        <color indexed="55"/>
      </bottom>
      <diagonal/>
    </border>
    <border>
      <left style="thin">
        <color indexed="8"/>
      </left>
      <right style="thin">
        <color indexed="64"/>
      </right>
      <top style="thin">
        <color indexed="8"/>
      </top>
      <bottom style="thin">
        <color indexed="8"/>
      </bottom>
      <diagonal/>
    </border>
    <border>
      <left/>
      <right/>
      <top/>
      <bottom style="thin">
        <color indexed="64"/>
      </bottom>
      <diagonal/>
    </border>
    <border>
      <left style="thin">
        <color indexed="55"/>
      </left>
      <right/>
      <top/>
      <bottom style="thin">
        <color indexed="55"/>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55"/>
      </top>
      <bottom style="thin">
        <color indexed="64"/>
      </bottom>
      <diagonal/>
    </border>
    <border>
      <left/>
      <right/>
      <top style="thin">
        <color indexed="64"/>
      </top>
      <bottom style="thin">
        <color indexed="55"/>
      </bottom>
      <diagonal/>
    </border>
    <border>
      <left/>
      <right style="thin">
        <color indexed="55"/>
      </right>
      <top style="thin">
        <color indexed="64"/>
      </top>
      <bottom style="thin">
        <color indexed="55"/>
      </bottom>
      <diagonal/>
    </border>
    <border>
      <left style="thin">
        <color indexed="64"/>
      </left>
      <right/>
      <top/>
      <bottom style="thin">
        <color indexed="8"/>
      </bottom>
      <diagonal/>
    </border>
    <border>
      <left style="thin">
        <color indexed="64"/>
      </left>
      <right/>
      <top/>
      <bottom/>
      <diagonal/>
    </border>
    <border>
      <left/>
      <right/>
      <top style="thin">
        <color indexed="64"/>
      </top>
      <bottom/>
      <diagonal/>
    </border>
    <border>
      <left/>
      <right style="medium">
        <color indexed="64"/>
      </right>
      <top style="medium">
        <color indexed="64"/>
      </top>
      <bottom style="medium">
        <color indexed="64"/>
      </bottom>
      <diagonal/>
    </border>
    <border>
      <left/>
      <right/>
      <top/>
      <bottom style="thick">
        <color theme="4"/>
      </bottom>
      <diagonal/>
    </border>
    <border>
      <left style="thin">
        <color indexed="64"/>
      </left>
      <right style="thin">
        <color indexed="64"/>
      </right>
      <top style="thin">
        <color indexed="64"/>
      </top>
      <bottom style="thick">
        <color theme="3"/>
      </bottom>
      <diagonal/>
    </border>
    <border>
      <left style="thin">
        <color indexed="64"/>
      </left>
      <right style="thin">
        <color indexed="8"/>
      </right>
      <top/>
      <bottom style="thin">
        <color indexed="8"/>
      </bottom>
      <diagonal/>
    </border>
  </borders>
  <cellStyleXfs count="4">
    <xf numFmtId="0" fontId="0" fillId="0" borderId="0"/>
    <xf numFmtId="166" fontId="1" fillId="0" borderId="0" applyFont="0" applyFill="0" applyBorder="0" applyAlignment="0" applyProtection="0"/>
    <xf numFmtId="165" fontId="1" fillId="0" borderId="0" applyFont="0" applyFill="0" applyBorder="0" applyAlignment="0" applyProtection="0"/>
    <xf numFmtId="0" fontId="22" fillId="0" borderId="42" applyNumberFormat="0" applyFill="0" applyAlignment="0" applyProtection="0"/>
  </cellStyleXfs>
  <cellXfs count="181">
    <xf numFmtId="0" fontId="0" fillId="0" borderId="0" xfId="0"/>
    <xf numFmtId="0" fontId="0" fillId="3" borderId="0" xfId="0" applyFill="1"/>
    <xf numFmtId="0" fontId="6" fillId="3" borderId="0" xfId="0" applyFont="1" applyFill="1"/>
    <xf numFmtId="0" fontId="9" fillId="3" borderId="0" xfId="0" applyFont="1" applyFill="1"/>
    <xf numFmtId="0" fontId="12" fillId="3" borderId="0" xfId="0" applyFont="1" applyFill="1"/>
    <xf numFmtId="0" fontId="13" fillId="3" borderId="0" xfId="0" applyFont="1" applyFill="1"/>
    <xf numFmtId="167" fontId="12" fillId="3" borderId="0" xfId="0" applyNumberFormat="1" applyFont="1" applyFill="1"/>
    <xf numFmtId="169" fontId="12" fillId="3" borderId="0" xfId="0" applyNumberFormat="1" applyFont="1" applyFill="1"/>
    <xf numFmtId="0" fontId="7" fillId="3" borderId="0" xfId="0" applyFont="1" applyFill="1" applyAlignment="1">
      <alignment horizontal="center"/>
    </xf>
    <xf numFmtId="0" fontId="10" fillId="2" borderId="0" xfId="0" applyFont="1" applyFill="1"/>
    <xf numFmtId="0" fontId="6" fillId="4" borderId="0" xfId="0" applyFont="1" applyFill="1"/>
    <xf numFmtId="164" fontId="6" fillId="4" borderId="0" xfId="0" applyNumberFormat="1" applyFont="1" applyFill="1" applyAlignment="1">
      <alignment horizontal="right"/>
    </xf>
    <xf numFmtId="0" fontId="5" fillId="2" borderId="1" xfId="0" applyFont="1" applyFill="1" applyBorder="1"/>
    <xf numFmtId="0" fontId="2" fillId="2" borderId="3" xfId="0" applyFont="1" applyFill="1" applyBorder="1" applyAlignment="1">
      <alignment horizontal="left" indent="1"/>
    </xf>
    <xf numFmtId="0" fontId="2" fillId="3" borderId="0" xfId="0" applyFont="1" applyFill="1"/>
    <xf numFmtId="0" fontId="16" fillId="8" borderId="5" xfId="0" applyFont="1" applyFill="1" applyBorder="1" applyAlignment="1" applyProtection="1">
      <alignment horizontal="center"/>
      <protection locked="0"/>
    </xf>
    <xf numFmtId="165" fontId="18" fillId="0" borderId="0" xfId="2" applyFont="1" applyFill="1" applyBorder="1" applyAlignment="1">
      <alignment horizontal="right" vertical="center"/>
    </xf>
    <xf numFmtId="1" fontId="19" fillId="0" borderId="0" xfId="1" applyNumberFormat="1" applyFont="1" applyFill="1" applyBorder="1" applyAlignment="1">
      <alignment horizontal="left" vertical="center"/>
    </xf>
    <xf numFmtId="0" fontId="18" fillId="0" borderId="6" xfId="0" applyFont="1" applyBorder="1"/>
    <xf numFmtId="0" fontId="17" fillId="0" borderId="6" xfId="0" applyFont="1" applyBorder="1"/>
    <xf numFmtId="171" fontId="17" fillId="0" borderId="5" xfId="0" applyNumberFormat="1" applyFont="1" applyBorder="1" applyAlignment="1">
      <alignment horizontal="right" vertical="center" wrapText="1"/>
    </xf>
    <xf numFmtId="0" fontId="18" fillId="0" borderId="6" xfId="0" applyFont="1" applyBorder="1" applyAlignment="1">
      <alignment vertical="center" wrapText="1"/>
    </xf>
    <xf numFmtId="0" fontId="23" fillId="0" borderId="0" xfId="0" applyFont="1"/>
    <xf numFmtId="0" fontId="19" fillId="0" borderId="0" xfId="0" applyFont="1" applyAlignment="1">
      <alignment wrapText="1"/>
    </xf>
    <xf numFmtId="0" fontId="19" fillId="0" borderId="0" xfId="0" applyFont="1"/>
    <xf numFmtId="4" fontId="20" fillId="6" borderId="6" xfId="0" applyNumberFormat="1" applyFont="1" applyFill="1" applyBorder="1" applyProtection="1">
      <protection locked="0"/>
    </xf>
    <xf numFmtId="0" fontId="2" fillId="2" borderId="1" xfId="0" applyFont="1" applyFill="1" applyBorder="1" applyAlignment="1">
      <alignment horizontal="left" indent="1"/>
    </xf>
    <xf numFmtId="0" fontId="2" fillId="2" borderId="7" xfId="0" applyFont="1" applyFill="1" applyBorder="1" applyAlignment="1">
      <alignment horizontal="left" indent="1"/>
    </xf>
    <xf numFmtId="0" fontId="5" fillId="2" borderId="3" xfId="0" applyFont="1" applyFill="1" applyBorder="1" applyAlignment="1">
      <alignment horizontal="left" indent="1"/>
    </xf>
    <xf numFmtId="4" fontId="2" fillId="10" borderId="11" xfId="0" applyNumberFormat="1" applyFont="1" applyFill="1" applyBorder="1"/>
    <xf numFmtId="4" fontId="5" fillId="10" borderId="10" xfId="0" applyNumberFormat="1" applyFont="1" applyFill="1" applyBorder="1"/>
    <xf numFmtId="37" fontId="5" fillId="10" borderId="10" xfId="0" applyNumberFormat="1" applyFont="1" applyFill="1" applyBorder="1" applyAlignment="1">
      <alignment horizontal="right"/>
    </xf>
    <xf numFmtId="4" fontId="5" fillId="10" borderId="10" xfId="0" applyNumberFormat="1" applyFont="1" applyFill="1" applyBorder="1" applyAlignment="1">
      <alignment horizontal="right"/>
    </xf>
    <xf numFmtId="172" fontId="3" fillId="7" borderId="10" xfId="0" applyNumberFormat="1" applyFont="1" applyFill="1" applyBorder="1" applyAlignment="1">
      <alignment horizontal="center"/>
    </xf>
    <xf numFmtId="173" fontId="5" fillId="10" borderId="0" xfId="0" applyNumberFormat="1" applyFont="1" applyFill="1"/>
    <xf numFmtId="171" fontId="18" fillId="10" borderId="6" xfId="0" applyNumberFormat="1" applyFont="1" applyFill="1" applyBorder="1" applyAlignment="1">
      <alignment horizontal="right"/>
    </xf>
    <xf numFmtId="37" fontId="17" fillId="10" borderId="5" xfId="0" applyNumberFormat="1" applyFont="1" applyFill="1" applyBorder="1" applyAlignment="1">
      <alignment horizontal="right"/>
    </xf>
    <xf numFmtId="37" fontId="17" fillId="10" borderId="6" xfId="0" applyNumberFormat="1" applyFont="1" applyFill="1" applyBorder="1" applyAlignment="1">
      <alignment horizontal="right"/>
    </xf>
    <xf numFmtId="0" fontId="2" fillId="2" borderId="1" xfId="0" applyFont="1" applyFill="1" applyBorder="1"/>
    <xf numFmtId="0" fontId="2" fillId="2" borderId="10" xfId="0" applyFont="1" applyFill="1" applyBorder="1"/>
    <xf numFmtId="4" fontId="17" fillId="10" borderId="6" xfId="0" applyNumberFormat="1" applyFont="1" applyFill="1" applyBorder="1"/>
    <xf numFmtId="0" fontId="4" fillId="2" borderId="13" xfId="0" applyFont="1" applyFill="1" applyBorder="1" applyAlignment="1">
      <alignment horizontal="left" vertical="top"/>
    </xf>
    <xf numFmtId="0" fontId="7" fillId="11" borderId="0" xfId="0" applyFont="1" applyFill="1" applyAlignment="1">
      <alignment vertical="top" wrapText="1"/>
    </xf>
    <xf numFmtId="0" fontId="10" fillId="11" borderId="0" xfId="0" applyFont="1" applyFill="1" applyAlignment="1">
      <alignment horizontal="left" vertical="top" wrapText="1"/>
    </xf>
    <xf numFmtId="0" fontId="24" fillId="11" borderId="0" xfId="0" applyFont="1" applyFill="1" applyAlignment="1">
      <alignment horizontal="left" vertical="top" wrapText="1"/>
    </xf>
    <xf numFmtId="0" fontId="16" fillId="8" borderId="6" xfId="0" applyFont="1" applyFill="1" applyBorder="1" applyAlignment="1" applyProtection="1">
      <alignment horizontal="center"/>
      <protection locked="0"/>
    </xf>
    <xf numFmtId="0" fontId="10" fillId="5" borderId="14" xfId="0" applyFont="1" applyFill="1" applyBorder="1"/>
    <xf numFmtId="0" fontId="25" fillId="5" borderId="15" xfId="0" applyFont="1" applyFill="1" applyBorder="1" applyAlignment="1">
      <alignment horizontal="center" vertical="center"/>
    </xf>
    <xf numFmtId="0" fontId="10" fillId="5" borderId="15" xfId="0" applyFont="1" applyFill="1" applyBorder="1"/>
    <xf numFmtId="0" fontId="10" fillId="5" borderId="0" xfId="0" applyFont="1" applyFill="1"/>
    <xf numFmtId="0" fontId="25" fillId="5" borderId="0" xfId="0" applyFont="1" applyFill="1" applyAlignment="1">
      <alignment horizontal="center" vertical="center"/>
    </xf>
    <xf numFmtId="0" fontId="21" fillId="2" borderId="0" xfId="0" applyFont="1" applyFill="1" applyAlignment="1">
      <alignment vertical="top" wrapText="1"/>
    </xf>
    <xf numFmtId="0" fontId="21" fillId="2" borderId="0" xfId="0" applyFont="1" applyFill="1" applyAlignment="1">
      <alignment horizontal="left" vertical="top" wrapText="1"/>
    </xf>
    <xf numFmtId="0" fontId="26" fillId="2" borderId="0" xfId="0" applyFont="1" applyFill="1" applyAlignment="1">
      <alignment horizontal="left" vertical="top" wrapText="1"/>
    </xf>
    <xf numFmtId="0" fontId="4" fillId="9" borderId="0" xfId="0" applyFont="1" applyFill="1"/>
    <xf numFmtId="0" fontId="4" fillId="9" borderId="0" xfId="0" applyFont="1" applyFill="1" applyAlignment="1">
      <alignment vertical="center"/>
    </xf>
    <xf numFmtId="0" fontId="4" fillId="9" borderId="0" xfId="0" applyFont="1" applyFill="1" applyAlignment="1">
      <alignment vertical="top"/>
    </xf>
    <xf numFmtId="0" fontId="4" fillId="9" borderId="13" xfId="0" applyFont="1" applyFill="1" applyBorder="1" applyAlignment="1">
      <alignment horizontal="left" vertical="top"/>
    </xf>
    <xf numFmtId="0" fontId="7" fillId="2" borderId="0" xfId="0" applyFont="1" applyFill="1" applyAlignment="1">
      <alignment horizontal="center"/>
    </xf>
    <xf numFmtId="0" fontId="2" fillId="2" borderId="0" xfId="0" applyFont="1" applyFill="1" applyAlignment="1">
      <alignment horizontal="left" indent="1"/>
    </xf>
    <xf numFmtId="0" fontId="5" fillId="2" borderId="0" xfId="0" applyFont="1" applyFill="1" applyAlignment="1">
      <alignment horizontal="left" indent="1"/>
    </xf>
    <xf numFmtId="0" fontId="5" fillId="2" borderId="0" xfId="0" applyFont="1" applyFill="1"/>
    <xf numFmtId="4" fontId="5" fillId="10" borderId="16" xfId="0" applyNumberFormat="1" applyFont="1" applyFill="1" applyBorder="1"/>
    <xf numFmtId="4" fontId="5" fillId="10" borderId="0" xfId="0" applyNumberFormat="1" applyFont="1" applyFill="1"/>
    <xf numFmtId="4" fontId="5" fillId="10" borderId="17" xfId="0" applyNumberFormat="1" applyFont="1" applyFill="1" applyBorder="1"/>
    <xf numFmtId="4" fontId="2" fillId="10" borderId="17" xfId="0" applyNumberFormat="1" applyFont="1" applyFill="1" applyBorder="1"/>
    <xf numFmtId="4" fontId="5" fillId="10" borderId="18" xfId="0" applyNumberFormat="1" applyFont="1" applyFill="1" applyBorder="1" applyProtection="1">
      <protection locked="0"/>
    </xf>
    <xf numFmtId="4" fontId="5" fillId="10" borderId="20" xfId="0" applyNumberFormat="1" applyFont="1" applyFill="1" applyBorder="1"/>
    <xf numFmtId="0" fontId="16" fillId="8" borderId="28" xfId="0" applyFont="1" applyFill="1" applyBorder="1" applyAlignment="1" applyProtection="1">
      <alignment horizontal="center"/>
      <protection locked="0"/>
    </xf>
    <xf numFmtId="172" fontId="3" fillId="7" borderId="19" xfId="0" applyNumberFormat="1" applyFont="1" applyFill="1" applyBorder="1" applyAlignment="1">
      <alignment horizontal="center"/>
    </xf>
    <xf numFmtId="167" fontId="3" fillId="7" borderId="26" xfId="0" applyNumberFormat="1" applyFont="1" applyFill="1" applyBorder="1" applyAlignment="1">
      <alignment horizontal="center"/>
    </xf>
    <xf numFmtId="4" fontId="5" fillId="10" borderId="19" xfId="0" applyNumberFormat="1" applyFont="1" applyFill="1" applyBorder="1"/>
    <xf numFmtId="172" fontId="3" fillId="7" borderId="21" xfId="0" applyNumberFormat="1" applyFont="1" applyFill="1" applyBorder="1" applyAlignment="1">
      <alignment horizontal="center"/>
    </xf>
    <xf numFmtId="4" fontId="5" fillId="10" borderId="21" xfId="0" applyNumberFormat="1" applyFont="1" applyFill="1" applyBorder="1"/>
    <xf numFmtId="0" fontId="8" fillId="9" borderId="0" xfId="0" applyFont="1" applyFill="1"/>
    <xf numFmtId="0" fontId="3" fillId="9" borderId="0" xfId="0" applyFont="1" applyFill="1"/>
    <xf numFmtId="168" fontId="5" fillId="9" borderId="0" xfId="0" applyNumberFormat="1" applyFont="1" applyFill="1"/>
    <xf numFmtId="9" fontId="5" fillId="9" borderId="0" xfId="0" applyNumberFormat="1" applyFont="1" applyFill="1"/>
    <xf numFmtId="164" fontId="3" fillId="9" borderId="0" xfId="0" applyNumberFormat="1" applyFont="1" applyFill="1" applyAlignment="1">
      <alignment horizontal="right"/>
    </xf>
    <xf numFmtId="0" fontId="3" fillId="9" borderId="32" xfId="0" applyFont="1" applyFill="1" applyBorder="1"/>
    <xf numFmtId="0" fontId="3" fillId="9" borderId="10" xfId="0" applyFont="1" applyFill="1" applyBorder="1"/>
    <xf numFmtId="0" fontId="3" fillId="9" borderId="1" xfId="0" applyFont="1" applyFill="1" applyBorder="1"/>
    <xf numFmtId="164" fontId="14" fillId="9" borderId="7" xfId="0" applyNumberFormat="1" applyFont="1" applyFill="1" applyBorder="1" applyAlignment="1">
      <alignment horizontal="center" vertical="center"/>
    </xf>
    <xf numFmtId="0" fontId="2" fillId="2" borderId="0" xfId="0" applyFont="1" applyFill="1" applyAlignment="1">
      <alignment horizontal="left"/>
    </xf>
    <xf numFmtId="0" fontId="17" fillId="8" borderId="33" xfId="0" applyFont="1" applyFill="1" applyBorder="1" applyAlignment="1" applyProtection="1">
      <alignment vertical="center"/>
      <protection locked="0"/>
    </xf>
    <xf numFmtId="0" fontId="17" fillId="8" borderId="34" xfId="0" applyFont="1" applyFill="1" applyBorder="1" applyAlignment="1" applyProtection="1">
      <alignment vertical="center"/>
      <protection locked="0"/>
    </xf>
    <xf numFmtId="4" fontId="18" fillId="10" borderId="0" xfId="0" applyNumberFormat="1" applyFont="1" applyFill="1"/>
    <xf numFmtId="0" fontId="27" fillId="0" borderId="0" xfId="0" applyFont="1" applyAlignment="1">
      <alignment wrapText="1"/>
    </xf>
    <xf numFmtId="0" fontId="18" fillId="9" borderId="0" xfId="0" applyFont="1" applyFill="1" applyAlignment="1">
      <alignment horizontal="right" vertical="center"/>
    </xf>
    <xf numFmtId="0" fontId="5" fillId="2" borderId="35" xfId="0" applyFont="1" applyFill="1" applyBorder="1" applyAlignment="1">
      <alignment horizontal="left"/>
    </xf>
    <xf numFmtId="0" fontId="12" fillId="9" borderId="0" xfId="0" applyFont="1" applyFill="1"/>
    <xf numFmtId="0" fontId="13" fillId="9" borderId="0" xfId="0" applyFont="1" applyFill="1"/>
    <xf numFmtId="0" fontId="9" fillId="9" borderId="0" xfId="0" applyFont="1" applyFill="1"/>
    <xf numFmtId="167" fontId="12" fillId="9" borderId="0" xfId="0" applyNumberFormat="1" applyFont="1" applyFill="1"/>
    <xf numFmtId="169" fontId="12" fillId="9" borderId="0" xfId="0" applyNumberFormat="1" applyFont="1" applyFill="1"/>
    <xf numFmtId="167" fontId="3" fillId="7" borderId="25" xfId="0" applyNumberFormat="1" applyFont="1" applyFill="1" applyBorder="1" applyAlignment="1">
      <alignment horizontal="center"/>
    </xf>
    <xf numFmtId="0" fontId="5" fillId="2" borderId="7" xfId="0" applyFont="1" applyFill="1" applyBorder="1"/>
    <xf numFmtId="3" fontId="16" fillId="8" borderId="5" xfId="0" applyNumberFormat="1" applyFont="1" applyFill="1" applyBorder="1" applyAlignment="1" applyProtection="1">
      <alignment horizontal="center"/>
      <protection locked="0"/>
    </xf>
    <xf numFmtId="0" fontId="16" fillId="8" borderId="38" xfId="0" applyFont="1" applyFill="1" applyBorder="1" applyAlignment="1" applyProtection="1">
      <alignment horizontal="center"/>
      <protection locked="0"/>
    </xf>
    <xf numFmtId="0" fontId="2" fillId="2" borderId="2" xfId="0" applyFont="1" applyFill="1" applyBorder="1"/>
    <xf numFmtId="0" fontId="16" fillId="8" borderId="39" xfId="0" applyFont="1" applyFill="1" applyBorder="1" applyAlignment="1" applyProtection="1">
      <alignment horizontal="center"/>
      <protection locked="0"/>
    </xf>
    <xf numFmtId="4" fontId="2" fillId="10" borderId="16" xfId="0" applyNumberFormat="1" applyFont="1" applyFill="1" applyBorder="1"/>
    <xf numFmtId="0" fontId="4" fillId="9" borderId="13" xfId="0" applyFont="1" applyFill="1" applyBorder="1" applyAlignment="1">
      <alignment vertical="top"/>
    </xf>
    <xf numFmtId="0" fontId="10" fillId="9" borderId="0" xfId="0" applyFont="1" applyFill="1" applyAlignment="1">
      <alignment horizontal="left" vertical="top" wrapText="1"/>
    </xf>
    <xf numFmtId="0" fontId="0" fillId="9" borderId="0" xfId="0" applyFill="1"/>
    <xf numFmtId="0" fontId="21" fillId="9" borderId="0" xfId="0" applyFont="1" applyFill="1" applyAlignment="1">
      <alignment vertical="top" wrapText="1"/>
    </xf>
    <xf numFmtId="0" fontId="7" fillId="9" borderId="0" xfId="0" applyFont="1" applyFill="1" applyAlignment="1">
      <alignment vertical="top" wrapText="1"/>
    </xf>
    <xf numFmtId="0" fontId="7" fillId="9" borderId="6" xfId="0" applyFont="1" applyFill="1" applyBorder="1" applyAlignment="1">
      <alignment vertical="center" wrapText="1"/>
    </xf>
    <xf numFmtId="0" fontId="21" fillId="9" borderId="0" xfId="0" applyFont="1" applyFill="1" applyAlignment="1">
      <alignment vertical="center" wrapText="1"/>
    </xf>
    <xf numFmtId="0" fontId="7" fillId="9" borderId="0" xfId="0" applyFont="1" applyFill="1" applyAlignment="1">
      <alignment vertical="center" wrapText="1"/>
    </xf>
    <xf numFmtId="0" fontId="0" fillId="9" borderId="40" xfId="0" applyFill="1" applyBorder="1"/>
    <xf numFmtId="0" fontId="11" fillId="9" borderId="0" xfId="0" applyFont="1" applyFill="1"/>
    <xf numFmtId="0" fontId="10" fillId="9" borderId="0" xfId="0" applyFont="1" applyFill="1"/>
    <xf numFmtId="0" fontId="21" fillId="9" borderId="0" xfId="0" applyFont="1" applyFill="1" applyAlignment="1">
      <alignment horizontal="left"/>
    </xf>
    <xf numFmtId="0" fontId="10" fillId="9" borderId="0" xfId="0" applyFont="1" applyFill="1" applyAlignment="1">
      <alignment horizontal="left"/>
    </xf>
    <xf numFmtId="0" fontId="16" fillId="9" borderId="6" xfId="0" applyFont="1" applyFill="1" applyBorder="1" applyAlignment="1" applyProtection="1">
      <alignment horizontal="center"/>
      <protection locked="0"/>
    </xf>
    <xf numFmtId="14" fontId="16" fillId="9" borderId="6" xfId="0" applyNumberFormat="1" applyFont="1" applyFill="1" applyBorder="1" applyAlignment="1" applyProtection="1">
      <alignment horizontal="center"/>
      <protection locked="0"/>
    </xf>
    <xf numFmtId="0" fontId="21" fillId="9" borderId="0" xfId="0" applyFont="1" applyFill="1" applyAlignment="1">
      <alignment vertical="center"/>
    </xf>
    <xf numFmtId="0" fontId="10" fillId="9" borderId="0" xfId="0" applyFont="1" applyFill="1" applyAlignment="1">
      <alignment vertical="center"/>
    </xf>
    <xf numFmtId="0" fontId="10" fillId="9" borderId="0" xfId="0" applyFont="1" applyFill="1" applyAlignment="1">
      <alignment vertical="center" wrapText="1"/>
    </xf>
    <xf numFmtId="0" fontId="10" fillId="9" borderId="41" xfId="0" applyFont="1" applyFill="1" applyBorder="1"/>
    <xf numFmtId="0" fontId="24" fillId="9" borderId="0" xfId="0" applyFont="1" applyFill="1" applyAlignment="1">
      <alignment horizontal="left" vertical="top" wrapText="1"/>
    </xf>
    <xf numFmtId="0" fontId="2" fillId="2" borderId="0" xfId="0" applyFont="1" applyFill="1"/>
    <xf numFmtId="3" fontId="16" fillId="8" borderId="6" xfId="0" applyNumberFormat="1" applyFont="1" applyFill="1" applyBorder="1" applyAlignment="1" applyProtection="1">
      <alignment horizontal="center"/>
      <protection locked="0"/>
    </xf>
    <xf numFmtId="0" fontId="10" fillId="2" borderId="13" xfId="0" applyFont="1" applyFill="1" applyBorder="1" applyAlignment="1">
      <alignment horizontal="right" vertical="top"/>
    </xf>
    <xf numFmtId="164" fontId="2" fillId="2" borderId="0" xfId="0" applyNumberFormat="1" applyFont="1" applyFill="1" applyAlignment="1">
      <alignment horizontal="right"/>
    </xf>
    <xf numFmtId="0" fontId="2" fillId="9" borderId="31" xfId="0" applyFont="1" applyFill="1" applyBorder="1"/>
    <xf numFmtId="164" fontId="2" fillId="9" borderId="10" xfId="0" applyNumberFormat="1" applyFont="1" applyFill="1" applyBorder="1" applyAlignment="1">
      <alignment horizontal="right"/>
    </xf>
    <xf numFmtId="0" fontId="2" fillId="4" borderId="0" xfId="0" applyFont="1" applyFill="1"/>
    <xf numFmtId="0" fontId="2" fillId="9" borderId="0" xfId="0" applyFont="1" applyFill="1"/>
    <xf numFmtId="0" fontId="2" fillId="2" borderId="0" xfId="0" applyFont="1" applyFill="1" applyAlignment="1">
      <alignment horizontal="center"/>
    </xf>
    <xf numFmtId="168" fontId="2" fillId="9" borderId="0" xfId="0" applyNumberFormat="1" applyFont="1" applyFill="1"/>
    <xf numFmtId="168" fontId="2" fillId="9" borderId="16" xfId="0" applyNumberFormat="1" applyFont="1" applyFill="1" applyBorder="1"/>
    <xf numFmtId="168" fontId="2" fillId="9" borderId="7" xfId="0" applyNumberFormat="1" applyFont="1" applyFill="1" applyBorder="1"/>
    <xf numFmtId="4" fontId="2" fillId="10" borderId="22" xfId="0" applyNumberFormat="1" applyFont="1" applyFill="1" applyBorder="1"/>
    <xf numFmtId="4" fontId="2" fillId="10" borderId="23" xfId="0" applyNumberFormat="1" applyFont="1" applyFill="1" applyBorder="1"/>
    <xf numFmtId="4" fontId="2" fillId="10" borderId="24" xfId="0" applyNumberFormat="1" applyFont="1" applyFill="1" applyBorder="1"/>
    <xf numFmtId="9" fontId="2" fillId="10" borderId="19" xfId="0" applyNumberFormat="1" applyFont="1" applyFill="1" applyBorder="1"/>
    <xf numFmtId="9" fontId="2" fillId="10" borderId="10" xfId="0" applyNumberFormat="1" applyFont="1" applyFill="1" applyBorder="1"/>
    <xf numFmtId="9" fontId="2" fillId="10" borderId="21" xfId="0" applyNumberFormat="1" applyFont="1" applyFill="1" applyBorder="1"/>
    <xf numFmtId="9" fontId="2" fillId="10" borderId="25" xfId="0" applyNumberFormat="1" applyFont="1" applyFill="1" applyBorder="1"/>
    <xf numFmtId="9" fontId="2" fillId="10" borderId="26" xfId="0" applyNumberFormat="1" applyFont="1" applyFill="1" applyBorder="1"/>
    <xf numFmtId="9" fontId="2" fillId="10" borderId="27" xfId="0" applyNumberFormat="1" applyFont="1" applyFill="1" applyBorder="1"/>
    <xf numFmtId="4" fontId="2" fillId="10" borderId="12" xfId="0" applyNumberFormat="1" applyFont="1" applyFill="1" applyBorder="1"/>
    <xf numFmtId="4" fontId="2" fillId="10" borderId="10" xfId="0" applyNumberFormat="1" applyFont="1" applyFill="1" applyBorder="1"/>
    <xf numFmtId="4" fontId="2" fillId="10" borderId="21" xfId="0" applyNumberFormat="1" applyFont="1" applyFill="1" applyBorder="1"/>
    <xf numFmtId="4" fontId="2" fillId="10" borderId="18" xfId="0" applyNumberFormat="1" applyFont="1" applyFill="1" applyBorder="1" applyProtection="1">
      <protection locked="0"/>
    </xf>
    <xf numFmtId="4" fontId="2" fillId="10" borderId="8" xfId="0" applyNumberFormat="1" applyFont="1" applyFill="1" applyBorder="1" applyProtection="1">
      <protection locked="0"/>
    </xf>
    <xf numFmtId="4" fontId="2" fillId="10" borderId="30" xfId="0" applyNumberFormat="1" applyFont="1" applyFill="1" applyBorder="1" applyProtection="1">
      <protection locked="0"/>
    </xf>
    <xf numFmtId="4" fontId="2" fillId="10" borderId="29" xfId="0" applyNumberFormat="1" applyFont="1" applyFill="1" applyBorder="1"/>
    <xf numFmtId="4" fontId="2" fillId="10" borderId="9" xfId="0" applyNumberFormat="1" applyFont="1" applyFill="1" applyBorder="1"/>
    <xf numFmtId="4" fontId="2" fillId="10" borderId="32" xfId="0" applyNumberFormat="1" applyFont="1" applyFill="1" applyBorder="1"/>
    <xf numFmtId="168" fontId="2" fillId="9" borderId="13" xfId="0" applyNumberFormat="1" applyFont="1" applyFill="1" applyBorder="1"/>
    <xf numFmtId="4" fontId="2" fillId="10" borderId="19" xfId="0" applyNumberFormat="1" applyFont="1" applyFill="1" applyBorder="1"/>
    <xf numFmtId="174" fontId="2" fillId="9" borderId="0" xfId="0" applyNumberFormat="1" applyFont="1" applyFill="1"/>
    <xf numFmtId="0" fontId="2" fillId="2" borderId="4" xfId="0" applyFont="1" applyFill="1" applyBorder="1"/>
    <xf numFmtId="4" fontId="2" fillId="10" borderId="0" xfId="0" applyNumberFormat="1" applyFont="1" applyFill="1" applyAlignment="1">
      <alignment horizontal="right"/>
    </xf>
    <xf numFmtId="4" fontId="2" fillId="10" borderId="12" xfId="0" applyNumberFormat="1" applyFont="1" applyFill="1" applyBorder="1" applyAlignment="1">
      <alignment horizontal="right"/>
    </xf>
    <xf numFmtId="4" fontId="2" fillId="10" borderId="37" xfId="0" applyNumberFormat="1" applyFont="1" applyFill="1" applyBorder="1" applyAlignment="1">
      <alignment horizontal="right"/>
    </xf>
    <xf numFmtId="164" fontId="2" fillId="9" borderId="0" xfId="0" applyNumberFormat="1" applyFont="1" applyFill="1" applyAlignment="1">
      <alignment horizontal="right"/>
    </xf>
    <xf numFmtId="0" fontId="2" fillId="2" borderId="36" xfId="0" applyFont="1" applyFill="1" applyBorder="1"/>
    <xf numFmtId="0" fontId="2" fillId="2" borderId="1" xfId="0" applyFont="1" applyFill="1" applyBorder="1" applyAlignment="1">
      <alignment horizontal="left"/>
    </xf>
    <xf numFmtId="4" fontId="2" fillId="10" borderId="34" xfId="0" applyNumberFormat="1" applyFont="1" applyFill="1" applyBorder="1" applyAlignment="1">
      <alignment horizontal="right"/>
    </xf>
    <xf numFmtId="9" fontId="2" fillId="10" borderId="4" xfId="0" applyNumberFormat="1" applyFont="1" applyFill="1" applyBorder="1" applyAlignment="1">
      <alignment horizontal="right"/>
    </xf>
    <xf numFmtId="37" fontId="2" fillId="10" borderId="1" xfId="0" applyNumberFormat="1" applyFont="1" applyFill="1" applyBorder="1" applyAlignment="1">
      <alignment horizontal="right"/>
    </xf>
    <xf numFmtId="164" fontId="2" fillId="10" borderId="1" xfId="0" applyNumberFormat="1" applyFont="1" applyFill="1" applyBorder="1" applyAlignment="1">
      <alignment horizontal="right"/>
    </xf>
    <xf numFmtId="170" fontId="2" fillId="10" borderId="1" xfId="0" applyNumberFormat="1" applyFont="1" applyFill="1" applyBorder="1" applyAlignment="1">
      <alignment horizontal="right"/>
    </xf>
    <xf numFmtId="164" fontId="2" fillId="4" borderId="0" xfId="0" applyNumberFormat="1" applyFont="1" applyFill="1" applyAlignment="1">
      <alignment horizontal="right"/>
    </xf>
    <xf numFmtId="0" fontId="2" fillId="2" borderId="24" xfId="0" applyFont="1" applyFill="1" applyBorder="1"/>
    <xf numFmtId="0" fontId="2" fillId="2" borderId="27" xfId="0" applyFont="1" applyFill="1" applyBorder="1"/>
    <xf numFmtId="3" fontId="16" fillId="8" borderId="28" xfId="0" applyNumberFormat="1" applyFont="1" applyFill="1" applyBorder="1" applyAlignment="1" applyProtection="1">
      <alignment horizontal="center"/>
      <protection locked="0"/>
    </xf>
    <xf numFmtId="3" fontId="16" fillId="8" borderId="38" xfId="0" applyNumberFormat="1" applyFont="1" applyFill="1" applyBorder="1" applyAlignment="1" applyProtection="1">
      <alignment horizontal="center"/>
      <protection locked="0"/>
    </xf>
    <xf numFmtId="0" fontId="4" fillId="9" borderId="0" xfId="0" applyFont="1" applyFill="1" applyAlignment="1">
      <alignment vertical="center"/>
    </xf>
    <xf numFmtId="0" fontId="0" fillId="9" borderId="0" xfId="0" applyFill="1"/>
    <xf numFmtId="0" fontId="21" fillId="9" borderId="0" xfId="0" applyFont="1" applyFill="1" applyAlignment="1">
      <alignment vertical="center" wrapText="1"/>
    </xf>
    <xf numFmtId="0" fontId="21" fillId="9" borderId="0" xfId="0" applyFont="1" applyFill="1"/>
    <xf numFmtId="0" fontId="21" fillId="9" borderId="13" xfId="0" applyFont="1" applyFill="1" applyBorder="1" applyAlignment="1">
      <alignment vertical="center" wrapText="1"/>
    </xf>
    <xf numFmtId="0" fontId="21" fillId="9" borderId="0" xfId="0" applyFont="1" applyFill="1" applyAlignment="1">
      <alignment vertical="center"/>
    </xf>
    <xf numFmtId="0" fontId="28" fillId="9" borderId="43" xfId="3" applyFont="1" applyFill="1" applyBorder="1" applyAlignment="1">
      <alignment wrapText="1"/>
    </xf>
    <xf numFmtId="0" fontId="27" fillId="9" borderId="0" xfId="3" applyFont="1" applyFill="1" applyBorder="1" applyAlignment="1">
      <alignment wrapText="1"/>
    </xf>
    <xf numFmtId="4" fontId="5" fillId="10" borderId="44" xfId="0" applyNumberFormat="1" applyFont="1" applyFill="1" applyBorder="1" applyProtection="1">
      <protection locked="0"/>
    </xf>
  </cellXfs>
  <cellStyles count="4">
    <cellStyle name="Comma" xfId="1" builtinId="3"/>
    <cellStyle name="Currency" xfId="2" builtinId="4"/>
    <cellStyle name="Heading 1" xfId="3" builtinId="16"/>
    <cellStyle name="Normal" xfId="0" builtinId="0"/>
  </cellStyles>
  <dxfs count="27">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1038225</xdr:colOff>
      <xdr:row>0</xdr:row>
      <xdr:rowOff>85725</xdr:rowOff>
    </xdr:from>
    <xdr:to>
      <xdr:col>3</xdr:col>
      <xdr:colOff>2076450</xdr:colOff>
      <xdr:row>0</xdr:row>
      <xdr:rowOff>657225</xdr:rowOff>
    </xdr:to>
    <xdr:pic>
      <xdr:nvPicPr>
        <xdr:cNvPr id="3514" name="Picture 8" descr="Wadhwani Foundation">
          <a:extLst>
            <a:ext uri="{FF2B5EF4-FFF2-40B4-BE49-F238E27FC236}">
              <a16:creationId xmlns:a16="http://schemas.microsoft.com/office/drawing/2014/main" id="{8D96EB2D-2861-27F3-F5DC-9C52176C59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4975" y="85725"/>
          <a:ext cx="103822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11922</xdr:colOff>
      <xdr:row>1</xdr:row>
      <xdr:rowOff>32529</xdr:rowOff>
    </xdr:from>
    <xdr:ext cx="3537199" cy="2431443"/>
    <xdr:sp macro="" textlink="">
      <xdr:nvSpPr>
        <xdr:cNvPr id="2" name="Text Box 2">
          <a:extLst>
            <a:ext uri="{FF2B5EF4-FFF2-40B4-BE49-F238E27FC236}">
              <a16:creationId xmlns:a16="http://schemas.microsoft.com/office/drawing/2014/main" id="{D59811DD-DE80-B7B5-7D7F-889C59C8ADD1}"/>
            </a:ext>
          </a:extLst>
        </xdr:cNvPr>
        <xdr:cNvSpPr txBox="1">
          <a:spLocks noChangeAspect="1" noChangeArrowheads="1"/>
        </xdr:cNvSpPr>
      </xdr:nvSpPr>
      <xdr:spPr bwMode="auto">
        <a:xfrm>
          <a:off x="4342622" y="229379"/>
          <a:ext cx="3490503" cy="2437621"/>
        </a:xfrm>
        <a:prstGeom prst="rect">
          <a:avLst/>
        </a:prstGeom>
        <a:noFill/>
        <a:ln w="57150">
          <a:solidFill>
            <a:srgbClr val="44C8F5"/>
          </a:solidFill>
          <a:miter lim="800000"/>
          <a:headEnd/>
          <a:tailEnd/>
        </a:ln>
      </xdr:spPr>
      <xdr:txBody>
        <a:bodyPr vertOverflow="clip" wrap="square" lIns="27432" tIns="22860" rIns="0" bIns="0" anchor="t" upright="1">
          <a:noAutofit/>
        </a:bodyPr>
        <a:lstStyle/>
        <a:p>
          <a:pPr algn="l" rtl="0">
            <a:defRPr sz="1000"/>
          </a:pPr>
          <a:r>
            <a:rPr lang="en-US" sz="900" b="1" i="0" u="none" strike="noStrike" baseline="0">
              <a:solidFill>
                <a:sysClr val="windowText" lastClr="000000"/>
              </a:solidFill>
              <a:latin typeface="Gill Sans MT" pitchFamily="34" charset="0"/>
              <a:cs typeface="Arial"/>
            </a:rPr>
            <a:t>Breakeven Sales Level</a:t>
          </a:r>
        </a:p>
        <a:p>
          <a:pPr algn="l" rtl="0">
            <a:lnSpc>
              <a:spcPts val="900"/>
            </a:lnSpc>
            <a:defRPr sz="1000"/>
          </a:pPr>
          <a:endParaRPr lang="en-US" sz="900" b="1" i="0" u="sng" strike="noStrike" baseline="0">
            <a:solidFill>
              <a:sysClr val="windowText" lastClr="000000"/>
            </a:solidFill>
            <a:latin typeface="Gill Sans MT" pitchFamily="34" charset="0"/>
            <a:cs typeface="Arial"/>
          </a:endParaRPr>
        </a:p>
        <a:p>
          <a:pPr algn="l" rtl="0">
            <a:lnSpc>
              <a:spcPts val="900"/>
            </a:lnSpc>
            <a:defRPr sz="1000"/>
          </a:pPr>
          <a:r>
            <a:rPr lang="en-US" sz="900" b="0" i="0" u="none" strike="noStrike" baseline="0">
              <a:solidFill>
                <a:sysClr val="windowText" lastClr="000000"/>
              </a:solidFill>
              <a:latin typeface="Gill Sans MT" pitchFamily="34" charset="0"/>
              <a:cs typeface="Arial"/>
            </a:rPr>
            <a:t>The breakeven sales level is the number of units that must be sold in order to break even. This means that revenues are equal to expenses. Any units sold beyond this quantity will allow the company to generate profit.</a:t>
          </a:r>
          <a:endParaRPr lang="en-US" sz="900" b="1" i="0" u="sng" strike="noStrike" baseline="0">
            <a:solidFill>
              <a:sysClr val="windowText" lastClr="000000"/>
            </a:solidFill>
            <a:latin typeface="Gill Sans MT" pitchFamily="34" charset="0"/>
            <a:cs typeface="Arial"/>
          </a:endParaRPr>
        </a:p>
        <a:p>
          <a:pPr algn="l" rtl="0">
            <a:defRPr sz="1000"/>
          </a:pPr>
          <a:endParaRPr lang="en-US" sz="900" b="0" i="0" u="none" strike="noStrike" baseline="0">
            <a:solidFill>
              <a:sysClr val="windowText" lastClr="000000"/>
            </a:solidFill>
            <a:latin typeface="Gill Sans MT" pitchFamily="34" charset="0"/>
            <a:cs typeface="Arial"/>
          </a:endParaRPr>
        </a:p>
        <a:p>
          <a:pPr algn="l" rtl="0">
            <a:defRPr sz="1000"/>
          </a:pPr>
          <a:r>
            <a:rPr lang="en-US" sz="900" b="0" i="0" u="none" strike="noStrike" baseline="0">
              <a:solidFill>
                <a:sysClr val="windowText" lastClr="000000"/>
              </a:solidFill>
              <a:latin typeface="Gill Sans MT" pitchFamily="34" charset="0"/>
              <a:cs typeface="Arial"/>
            </a:rPr>
            <a:t>One of the best uses of breakeven analysis is to play with various scenarios. For instance, if you can reduce the cost of producing an item, what will be the impact on how many units you need to sell. You can use many such "what if" scenarios to arrive at the sales that your team can achieve.</a:t>
          </a:r>
        </a:p>
        <a:p>
          <a:pPr algn="l" rtl="0">
            <a:lnSpc>
              <a:spcPts val="900"/>
            </a:lnSpc>
            <a:defRPr sz="1000"/>
          </a:pPr>
          <a:endParaRPr lang="en-US" sz="900" b="0" i="0" u="none" strike="noStrike" baseline="0">
            <a:solidFill>
              <a:sysClr val="windowText" lastClr="000000"/>
            </a:solidFill>
            <a:latin typeface="Gill Sans MT" pitchFamily="34" charset="0"/>
            <a:cs typeface="Arial"/>
          </a:endParaRPr>
        </a:p>
        <a:p>
          <a:pPr algn="l" rtl="0">
            <a:lnSpc>
              <a:spcPts val="900"/>
            </a:lnSpc>
            <a:defRPr sz="1000"/>
          </a:pPr>
          <a:r>
            <a:rPr lang="en-US" sz="900" b="0" i="0" u="none" strike="noStrike" baseline="0">
              <a:solidFill>
                <a:sysClr val="windowText" lastClr="000000"/>
              </a:solidFill>
              <a:latin typeface="Gill Sans MT" pitchFamily="34" charset="0"/>
              <a:cs typeface="Arial"/>
            </a:rPr>
            <a:t>Formula:</a:t>
          </a:r>
        </a:p>
        <a:p>
          <a:pPr algn="l" rtl="0">
            <a:lnSpc>
              <a:spcPts val="900"/>
            </a:lnSpc>
            <a:defRPr sz="1000"/>
          </a:pPr>
          <a:endParaRPr lang="en-US" sz="900" b="0" i="0" u="none" strike="noStrike" baseline="0">
            <a:solidFill>
              <a:sysClr val="windowText" lastClr="000000"/>
            </a:solidFill>
            <a:latin typeface="Gill Sans MT" pitchFamily="34" charset="0"/>
            <a:cs typeface="Arial"/>
          </a:endParaRPr>
        </a:p>
        <a:p>
          <a:pPr algn="l" rtl="0">
            <a:lnSpc>
              <a:spcPts val="900"/>
            </a:lnSpc>
            <a:defRPr sz="1000"/>
          </a:pPr>
          <a:r>
            <a:rPr lang="en-US" sz="900" b="0" i="0" u="none" strike="noStrike" baseline="0">
              <a:solidFill>
                <a:sysClr val="windowText" lastClr="000000"/>
              </a:solidFill>
              <a:latin typeface="Gill Sans MT" pitchFamily="34" charset="0"/>
              <a:cs typeface="Arial"/>
            </a:rPr>
            <a:t>Breakeven Point = Total Fixed Costs/(Gross Margin/Total Sales)</a:t>
          </a:r>
        </a:p>
        <a:p>
          <a:pPr algn="l" rtl="0">
            <a:lnSpc>
              <a:spcPts val="900"/>
            </a:lnSpc>
            <a:defRPr sz="1000"/>
          </a:pPr>
          <a:endParaRPr lang="en-US" sz="900" b="0" i="0" u="none" strike="noStrike" baseline="0">
            <a:solidFill>
              <a:sysClr val="windowText" lastClr="000000"/>
            </a:solidFill>
            <a:latin typeface="Gill Sans MT" pitchFamily="34" charset="0"/>
            <a:cs typeface="Arial"/>
          </a:endParaRPr>
        </a:p>
        <a:p>
          <a:pPr algn="l" rtl="0">
            <a:lnSpc>
              <a:spcPts val="900"/>
            </a:lnSpc>
            <a:defRPr sz="1000"/>
          </a:pPr>
          <a:endParaRPr lang="en-US" sz="900" b="0" i="0" u="none" strike="noStrike" baseline="0">
            <a:solidFill>
              <a:sysClr val="windowText" lastClr="000000"/>
            </a:solidFill>
            <a:latin typeface="Gill Sans MT" pitchFamily="34" charset="0"/>
            <a:cs typeface="Arial"/>
          </a:endParaRPr>
        </a:p>
        <a:p>
          <a:pPr algn="l" rtl="0">
            <a:lnSpc>
              <a:spcPts val="900"/>
            </a:lnSpc>
            <a:defRPr sz="1000"/>
          </a:pPr>
          <a:endParaRPr lang="en-US" sz="900" b="0" i="0" u="none" strike="noStrike" baseline="0">
            <a:solidFill>
              <a:sysClr val="windowText" lastClr="000000"/>
            </a:solidFill>
            <a:latin typeface="Gill Sans MT" pitchFamily="34" charset="0"/>
            <a:cs typeface="Arial"/>
          </a:endParaRPr>
        </a:p>
      </xdr:txBody>
    </xdr:sp>
    <xdr:clientData fLocksWithSheet="0"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7"/>
  <sheetViews>
    <sheetView view="pageLayout" topLeftCell="A5" zoomScaleNormal="134" workbookViewId="0">
      <selection activeCell="A9" sqref="A9:B9"/>
    </sheetView>
  </sheetViews>
  <sheetFormatPr baseColWidth="10" defaultColWidth="11.5" defaultRowHeight="13" x14ac:dyDescent="0.15"/>
  <cols>
    <col min="1" max="1" width="20.1640625" style="1" customWidth="1"/>
    <col min="2" max="2" width="103" style="1" customWidth="1"/>
    <col min="3" max="3" width="1.1640625" style="1" customWidth="1"/>
    <col min="4" max="4" width="34.83203125" style="104" customWidth="1"/>
    <col min="5" max="16384" width="11.5" style="1"/>
  </cols>
  <sheetData>
    <row r="1" spans="1:4" ht="63.75" customHeight="1" thickBot="1" x14ac:dyDescent="0.2">
      <c r="A1" s="46"/>
      <c r="B1" s="47" t="s">
        <v>0</v>
      </c>
      <c r="C1" s="48"/>
      <c r="D1" s="120"/>
    </row>
    <row r="2" spans="1:4" ht="17" hidden="1" customHeight="1" x14ac:dyDescent="0.15">
      <c r="A2" s="49"/>
      <c r="B2" s="50"/>
      <c r="C2" s="49"/>
      <c r="D2" s="112"/>
    </row>
    <row r="3" spans="1:4" s="104" customFormat="1" ht="23.25" hidden="1" customHeight="1" x14ac:dyDescent="0.15">
      <c r="A3" s="172"/>
      <c r="B3" s="173"/>
    </row>
    <row r="4" spans="1:4" s="104" customFormat="1" ht="16" x14ac:dyDescent="0.15">
      <c r="A4" s="102"/>
      <c r="B4" s="105"/>
      <c r="C4" s="106"/>
    </row>
    <row r="5" spans="1:4" ht="16" x14ac:dyDescent="0.15">
      <c r="A5" s="41" t="s">
        <v>1</v>
      </c>
      <c r="B5" s="51"/>
      <c r="C5" s="42"/>
    </row>
    <row r="6" spans="1:4" ht="16" x14ac:dyDescent="0.15">
      <c r="A6" s="41"/>
      <c r="B6" s="52"/>
      <c r="C6" s="43"/>
      <c r="D6" s="103"/>
    </row>
    <row r="7" spans="1:4" ht="12.75" hidden="1" customHeight="1" x14ac:dyDescent="0.15">
      <c r="A7" s="124"/>
      <c r="B7" s="53"/>
      <c r="C7" s="44"/>
      <c r="D7" s="121"/>
    </row>
    <row r="8" spans="1:4" s="104" customFormat="1" ht="122.25" customHeight="1" x14ac:dyDescent="0.15">
      <c r="A8" s="176" t="s">
        <v>2</v>
      </c>
      <c r="B8" s="177"/>
      <c r="C8" s="177"/>
      <c r="D8" s="103"/>
    </row>
    <row r="9" spans="1:4" s="104" customFormat="1" ht="144" customHeight="1" x14ac:dyDescent="0.2">
      <c r="A9" s="174" t="s">
        <v>3</v>
      </c>
      <c r="B9" s="175"/>
    </row>
    <row r="10" spans="1:4" s="104" customFormat="1" ht="30" customHeight="1" x14ac:dyDescent="0.15">
      <c r="A10" s="57"/>
      <c r="B10" s="105"/>
      <c r="C10" s="106"/>
    </row>
    <row r="11" spans="1:4" s="104" customFormat="1" ht="30" customHeight="1" x14ac:dyDescent="0.15">
      <c r="A11" s="57"/>
      <c r="B11" s="105"/>
      <c r="C11" s="106"/>
      <c r="D11" s="107"/>
    </row>
    <row r="12" spans="1:4" s="104" customFormat="1" ht="16" x14ac:dyDescent="0.15">
      <c r="A12" s="57"/>
      <c r="B12" s="108"/>
      <c r="C12" s="109"/>
    </row>
    <row r="13" spans="1:4" s="104" customFormat="1" ht="30" customHeight="1" x14ac:dyDescent="0.15">
      <c r="A13" s="57"/>
      <c r="B13" s="105"/>
      <c r="C13" s="106"/>
      <c r="D13" s="107"/>
    </row>
    <row r="14" spans="1:4" s="104" customFormat="1" ht="23.25" customHeight="1" x14ac:dyDescent="0.2">
      <c r="A14" s="172"/>
      <c r="B14" s="175"/>
      <c r="D14" s="110"/>
    </row>
    <row r="15" spans="1:4" s="104" customFormat="1" ht="16" x14ac:dyDescent="0.15">
      <c r="A15" s="57"/>
      <c r="B15" s="56"/>
      <c r="C15" s="111"/>
      <c r="D15" s="112"/>
    </row>
    <row r="16" spans="1:4" s="104" customFormat="1" ht="14" customHeight="1" x14ac:dyDescent="0.2">
      <c r="A16" s="57"/>
      <c r="B16" s="113"/>
      <c r="C16" s="114"/>
      <c r="D16" s="115"/>
    </row>
    <row r="17" spans="1:4" s="104" customFormat="1" ht="14" customHeight="1" x14ac:dyDescent="0.2">
      <c r="A17" s="57"/>
      <c r="B17" s="113"/>
      <c r="C17" s="114"/>
      <c r="D17" s="112"/>
    </row>
    <row r="18" spans="1:4" s="104" customFormat="1" ht="14" customHeight="1" x14ac:dyDescent="0.2">
      <c r="A18" s="57"/>
      <c r="B18" s="113"/>
      <c r="C18" s="114"/>
      <c r="D18" s="116"/>
    </row>
    <row r="19" spans="1:4" s="104" customFormat="1" ht="14" customHeight="1" x14ac:dyDescent="0.2">
      <c r="A19" s="57"/>
      <c r="B19" s="113"/>
      <c r="C19" s="114"/>
      <c r="D19" s="112"/>
    </row>
    <row r="20" spans="1:4" s="104" customFormat="1" ht="14" customHeight="1" x14ac:dyDescent="0.2">
      <c r="A20" s="57"/>
      <c r="B20" s="113"/>
      <c r="C20" s="114"/>
      <c r="D20" s="115"/>
    </row>
    <row r="21" spans="1:4" s="104" customFormat="1" ht="21" customHeight="1" x14ac:dyDescent="0.15">
      <c r="A21" s="57"/>
      <c r="B21" s="55"/>
      <c r="C21" s="111"/>
      <c r="D21" s="112"/>
    </row>
    <row r="22" spans="1:4" s="104" customFormat="1" ht="20.25" customHeight="1" x14ac:dyDescent="0.15">
      <c r="A22" s="57"/>
      <c r="B22" s="117"/>
      <c r="C22" s="118"/>
      <c r="D22" s="112"/>
    </row>
    <row r="23" spans="1:4" s="104" customFormat="1" ht="18" customHeight="1" x14ac:dyDescent="0.2">
      <c r="A23" s="57"/>
      <c r="B23" s="54"/>
      <c r="C23" s="111"/>
      <c r="D23" s="112"/>
    </row>
    <row r="24" spans="1:4" s="104" customFormat="1" ht="33.75" customHeight="1" x14ac:dyDescent="0.15">
      <c r="A24" s="57"/>
      <c r="B24" s="108"/>
      <c r="C24" s="119"/>
      <c r="D24" s="119"/>
    </row>
    <row r="25" spans="1:4" s="104" customFormat="1" ht="17.25" customHeight="1" x14ac:dyDescent="0.2">
      <c r="A25" s="57"/>
      <c r="B25" s="54"/>
      <c r="C25" s="111"/>
      <c r="D25" s="112"/>
    </row>
    <row r="26" spans="1:4" s="104" customFormat="1" ht="12" customHeight="1" x14ac:dyDescent="0.15">
      <c r="A26" s="57"/>
      <c r="B26" s="108"/>
      <c r="C26" s="119"/>
      <c r="D26" s="112"/>
    </row>
    <row r="27" spans="1:4" s="104" customFormat="1" ht="12.75" customHeight="1" x14ac:dyDescent="0.15">
      <c r="A27" s="57"/>
      <c r="B27" s="108"/>
      <c r="C27" s="119"/>
      <c r="D27" s="112"/>
    </row>
    <row r="28" spans="1:4" s="104" customFormat="1" ht="14.25" customHeight="1" x14ac:dyDescent="0.2">
      <c r="A28" s="57"/>
      <c r="B28" s="54"/>
      <c r="C28" s="111"/>
      <c r="D28" s="112"/>
    </row>
    <row r="29" spans="1:4" s="104" customFormat="1" ht="25.5" customHeight="1" x14ac:dyDescent="0.15">
      <c r="A29" s="57"/>
      <c r="B29" s="108"/>
      <c r="C29" s="119"/>
      <c r="D29" s="119"/>
    </row>
    <row r="30" spans="1:4" s="104" customFormat="1" ht="14.25" customHeight="1" x14ac:dyDescent="0.2">
      <c r="A30" s="57"/>
      <c r="B30" s="54"/>
      <c r="C30" s="111"/>
      <c r="D30" s="112"/>
    </row>
    <row r="31" spans="1:4" s="104" customFormat="1" ht="25.5" customHeight="1" x14ac:dyDescent="0.15">
      <c r="A31" s="57"/>
      <c r="B31" s="108"/>
      <c r="C31" s="119"/>
      <c r="D31" s="119"/>
    </row>
    <row r="32" spans="1:4" s="104" customFormat="1" ht="14.25" customHeight="1" x14ac:dyDescent="0.2">
      <c r="A32" s="57"/>
      <c r="B32" s="54"/>
      <c r="C32" s="111"/>
      <c r="D32" s="112"/>
    </row>
    <row r="33" spans="1:4" s="104" customFormat="1" ht="25.5" customHeight="1" x14ac:dyDescent="0.15">
      <c r="A33" s="57"/>
      <c r="B33" s="108"/>
      <c r="C33" s="119"/>
      <c r="D33" s="119"/>
    </row>
    <row r="34" spans="1:4" s="104" customFormat="1" x14ac:dyDescent="0.15"/>
    <row r="35" spans="1:4" s="104" customFormat="1" x14ac:dyDescent="0.15"/>
    <row r="36" spans="1:4" s="104" customFormat="1" x14ac:dyDescent="0.15"/>
    <row r="37" spans="1:4" s="104" customFormat="1" x14ac:dyDescent="0.15"/>
  </sheetData>
  <sheetProtection selectLockedCells="1"/>
  <mergeCells count="4">
    <mergeCell ref="A3:B3"/>
    <mergeCell ref="A9:B9"/>
    <mergeCell ref="A14:B14"/>
    <mergeCell ref="A8:C8"/>
  </mergeCells>
  <phoneticPr fontId="2" type="noConversion"/>
  <conditionalFormatting sqref="D16">
    <cfRule type="containsBlanks" dxfId="26" priority="1">
      <formula>LEN(TRIM(D16))=0</formula>
    </cfRule>
  </conditionalFormatting>
  <conditionalFormatting sqref="D18">
    <cfRule type="containsBlanks" dxfId="25" priority="4">
      <formula>LEN(TRIM(D18))=0</formula>
    </cfRule>
  </conditionalFormatting>
  <conditionalFormatting sqref="D20">
    <cfRule type="containsBlanks" dxfId="24" priority="5">
      <formula>LEN(TRIM(D20))=0</formula>
    </cfRule>
  </conditionalFormatting>
  <pageMargins left="0.75" right="0.75" top="1" bottom="1" header="0.5" footer="0.5"/>
  <pageSetup paperSize="9" scale="55" orientation="portrait" r:id="rId1"/>
  <headerFooter alignWithMargins="0">
    <oddHeader>&amp;L&amp;"System Font,Regular"&amp;K000000Practice Venture Worksheet&amp;RFINANCIAL PLANNING AND FORECASTING TEMPLATE</oddHeader>
    <oddFooter>&amp;L© 2018 Wadhwani Foundation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4"/>
  <sheetViews>
    <sheetView topLeftCell="A2" zoomScale="281" zoomScaleNormal="161" workbookViewId="0">
      <selection activeCell="B20" sqref="B20"/>
    </sheetView>
  </sheetViews>
  <sheetFormatPr baseColWidth="10" defaultColWidth="11.5" defaultRowHeight="11" x14ac:dyDescent="0.15"/>
  <cols>
    <col min="1" max="1" width="35.5" style="10" customWidth="1"/>
    <col min="2" max="2" width="20.6640625" style="11" customWidth="1"/>
    <col min="3" max="16384" width="11.5" style="10"/>
  </cols>
  <sheetData>
    <row r="1" spans="1:2" ht="16" x14ac:dyDescent="0.15">
      <c r="A1" s="55" t="s">
        <v>4</v>
      </c>
      <c r="B1" s="78"/>
    </row>
    <row r="2" spans="1:2" ht="16.5" customHeight="1" x14ac:dyDescent="0.15">
      <c r="A2" s="122"/>
      <c r="B2" s="125"/>
    </row>
    <row r="3" spans="1:2" ht="24" customHeight="1" x14ac:dyDescent="0.15">
      <c r="A3" s="79" t="s">
        <v>5</v>
      </c>
      <c r="B3" s="126"/>
    </row>
    <row r="4" spans="1:2" ht="15" x14ac:dyDescent="0.2">
      <c r="A4" s="13" t="s">
        <v>6</v>
      </c>
      <c r="B4" s="97">
        <v>25000</v>
      </c>
    </row>
    <row r="5" spans="1:2" ht="15" x14ac:dyDescent="0.2">
      <c r="A5" s="13" t="s">
        <v>7</v>
      </c>
      <c r="B5" s="97">
        <v>17000</v>
      </c>
    </row>
    <row r="6" spans="1:2" ht="15" x14ac:dyDescent="0.2">
      <c r="A6" s="13" t="s">
        <v>8</v>
      </c>
      <c r="B6" s="97">
        <v>0</v>
      </c>
    </row>
    <row r="7" spans="1:2" ht="15" x14ac:dyDescent="0.2">
      <c r="A7" s="13" t="s">
        <v>113</v>
      </c>
      <c r="B7" s="97">
        <v>60000</v>
      </c>
    </row>
    <row r="8" spans="1:2" ht="15" x14ac:dyDescent="0.2">
      <c r="A8" s="13" t="s">
        <v>9</v>
      </c>
      <c r="B8" s="97">
        <v>0</v>
      </c>
    </row>
    <row r="9" spans="1:2" ht="15" x14ac:dyDescent="0.2">
      <c r="A9" s="13" t="s">
        <v>10</v>
      </c>
      <c r="B9" s="97">
        <v>30000</v>
      </c>
    </row>
    <row r="10" spans="1:2" ht="24" customHeight="1" x14ac:dyDescent="0.15">
      <c r="A10" s="80" t="s">
        <v>11</v>
      </c>
      <c r="B10" s="127"/>
    </row>
    <row r="11" spans="1:2" ht="15" x14ac:dyDescent="0.2">
      <c r="A11" s="13" t="s">
        <v>11</v>
      </c>
      <c r="B11" s="15" t="s">
        <v>12</v>
      </c>
    </row>
    <row r="12" spans="1:2" ht="24" customHeight="1" x14ac:dyDescent="0.15">
      <c r="A12" s="80" t="s">
        <v>13</v>
      </c>
      <c r="B12" s="127"/>
    </row>
    <row r="13" spans="1:2" ht="15" x14ac:dyDescent="0.2">
      <c r="A13" s="13" t="s">
        <v>14</v>
      </c>
      <c r="B13" s="97">
        <v>50000</v>
      </c>
    </row>
    <row r="14" spans="1:2" ht="15" x14ac:dyDescent="0.2">
      <c r="A14" s="13" t="s">
        <v>114</v>
      </c>
      <c r="B14" s="97">
        <v>100000</v>
      </c>
    </row>
    <row r="15" spans="1:2" ht="15" x14ac:dyDescent="0.2">
      <c r="A15" s="13" t="s">
        <v>15</v>
      </c>
      <c r="B15" s="97">
        <v>0</v>
      </c>
    </row>
    <row r="16" spans="1:2" ht="15" x14ac:dyDescent="0.2">
      <c r="A16" s="13" t="s">
        <v>16</v>
      </c>
      <c r="B16" s="97">
        <v>250000</v>
      </c>
    </row>
    <row r="17" spans="1:3" ht="24" customHeight="1" x14ac:dyDescent="0.15">
      <c r="A17" s="80" t="s">
        <v>17</v>
      </c>
      <c r="B17" s="127"/>
      <c r="C17" s="128"/>
    </row>
    <row r="18" spans="1:3" ht="15" x14ac:dyDescent="0.2">
      <c r="A18" s="13" t="s">
        <v>18</v>
      </c>
      <c r="B18" s="97">
        <v>300000</v>
      </c>
      <c r="C18" s="128"/>
    </row>
    <row r="19" spans="1:3" ht="15" x14ac:dyDescent="0.2">
      <c r="A19" s="13" t="s">
        <v>19</v>
      </c>
      <c r="B19" s="97">
        <v>300000</v>
      </c>
      <c r="C19" s="128"/>
    </row>
    <row r="20" spans="1:3" x14ac:dyDescent="0.15">
      <c r="A20" s="28" t="s">
        <v>20</v>
      </c>
      <c r="B20" s="31">
        <f>SUM(B18:B19)</f>
        <v>600000</v>
      </c>
      <c r="C20" s="128"/>
    </row>
    <row r="21" spans="1:3" ht="24" customHeight="1" x14ac:dyDescent="0.15">
      <c r="A21" s="80" t="s">
        <v>21</v>
      </c>
      <c r="B21" s="127"/>
      <c r="C21" s="128"/>
    </row>
    <row r="22" spans="1:3" ht="10.5" customHeight="1" x14ac:dyDescent="0.15">
      <c r="A22" s="13" t="s">
        <v>22</v>
      </c>
      <c r="B22" s="32">
        <f>SUM(B4:B16)</f>
        <v>532000</v>
      </c>
      <c r="C22" s="128"/>
    </row>
    <row r="23" spans="1:3" x14ac:dyDescent="0.15">
      <c r="A23" s="13" t="s">
        <v>23</v>
      </c>
      <c r="B23" s="32">
        <f>IF((B20-B22)&gt;0,B20-B22,"0")</f>
        <v>68000</v>
      </c>
      <c r="C23" s="128"/>
    </row>
    <row r="24" spans="1:3" x14ac:dyDescent="0.15">
      <c r="A24" s="13" t="s">
        <v>24</v>
      </c>
      <c r="B24" s="32" t="str">
        <f>IF((B22-B20)&gt;0,B22-B20,"0")</f>
        <v>0</v>
      </c>
      <c r="C24" s="128"/>
    </row>
  </sheetData>
  <phoneticPr fontId="15" type="noConversion"/>
  <conditionalFormatting sqref="B4:B9">
    <cfRule type="containsBlanks" dxfId="23" priority="6">
      <formula>LEN(TRIM(B4))=0</formula>
    </cfRule>
  </conditionalFormatting>
  <conditionalFormatting sqref="B11">
    <cfRule type="containsBlanks" dxfId="22" priority="4">
      <formula>LEN(TRIM(B11))=0</formula>
    </cfRule>
  </conditionalFormatting>
  <conditionalFormatting sqref="B13:B16">
    <cfRule type="containsBlanks" dxfId="21" priority="1">
      <formula>LEN(TRIM(B13))=0</formula>
    </cfRule>
  </conditionalFormatting>
  <conditionalFormatting sqref="B18:B19">
    <cfRule type="containsBlanks" dxfId="20" priority="2">
      <formula>LEN(TRIM(B18))=0</formula>
    </cfRule>
  </conditionalFormatting>
  <pageMargins left="0.75" right="0.75" top="1" bottom="1" header="0.5" footer="0.5"/>
  <pageSetup paperSize="9" orientation="portrait" r:id="rId1"/>
  <headerFooter alignWithMargins="0">
    <oddHeader>&amp;L&amp;"System Font,Regular"&amp;K000000Practice Venture Worksheet&amp;RSTART-UP COSTS</oddHeader>
    <oddFooter>&amp;L© 2018 Wadhwani Foundation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35"/>
  <sheetViews>
    <sheetView topLeftCell="F9" zoomScale="228" zoomScaleNormal="129" workbookViewId="0">
      <selection activeCell="J19" sqref="J19"/>
    </sheetView>
  </sheetViews>
  <sheetFormatPr baseColWidth="10" defaultColWidth="11.5" defaultRowHeight="11" x14ac:dyDescent="0.15"/>
  <cols>
    <col min="1" max="1" width="30.5" style="2" customWidth="1"/>
    <col min="2" max="14" width="12.6640625" style="2" customWidth="1"/>
    <col min="15" max="16384" width="11.5" style="2"/>
  </cols>
  <sheetData>
    <row r="1" spans="1:14" ht="18.75" customHeight="1" x14ac:dyDescent="0.15">
      <c r="A1" s="55" t="s">
        <v>25</v>
      </c>
      <c r="B1" s="129"/>
      <c r="C1" s="129"/>
      <c r="D1" s="129"/>
      <c r="E1" s="129"/>
      <c r="F1" s="129"/>
      <c r="G1" s="129"/>
      <c r="H1" s="129"/>
      <c r="I1" s="129"/>
      <c r="J1" s="129"/>
      <c r="K1" s="129"/>
      <c r="L1" s="129"/>
      <c r="M1" s="129"/>
      <c r="N1" s="129"/>
    </row>
    <row r="2" spans="1:14" ht="6" customHeight="1" x14ac:dyDescent="0.15">
      <c r="A2" s="122"/>
      <c r="B2" s="122"/>
      <c r="C2" s="122"/>
      <c r="D2" s="9"/>
      <c r="E2" s="130"/>
      <c r="F2" s="122"/>
      <c r="G2" s="122"/>
      <c r="H2" s="122"/>
      <c r="I2" s="122"/>
      <c r="J2" s="122"/>
      <c r="K2" s="122"/>
      <c r="L2" s="122"/>
      <c r="M2" s="122"/>
      <c r="N2" s="122"/>
    </row>
    <row r="3" spans="1:14" s="8" customFormat="1" ht="13" x14ac:dyDescent="0.15">
      <c r="A3" s="58"/>
      <c r="B3" s="69">
        <f>Instructions!D18</f>
        <v>0</v>
      </c>
      <c r="C3" s="33">
        <f t="shared" ref="C3:M3" si="0">DATE(YEAR(B3),MONTH(B3)+1,DAY(B3))</f>
        <v>31</v>
      </c>
      <c r="D3" s="33">
        <f t="shared" si="0"/>
        <v>62</v>
      </c>
      <c r="E3" s="33">
        <f t="shared" si="0"/>
        <v>93</v>
      </c>
      <c r="F3" s="33">
        <f t="shared" si="0"/>
        <v>123</v>
      </c>
      <c r="G3" s="33">
        <f t="shared" si="0"/>
        <v>154</v>
      </c>
      <c r="H3" s="33">
        <f t="shared" si="0"/>
        <v>184</v>
      </c>
      <c r="I3" s="33">
        <f t="shared" si="0"/>
        <v>215</v>
      </c>
      <c r="J3" s="33">
        <f t="shared" si="0"/>
        <v>246</v>
      </c>
      <c r="K3" s="33">
        <f t="shared" si="0"/>
        <v>276</v>
      </c>
      <c r="L3" s="33">
        <f t="shared" si="0"/>
        <v>307</v>
      </c>
      <c r="M3" s="33">
        <f t="shared" si="0"/>
        <v>337</v>
      </c>
      <c r="N3" s="70" t="s">
        <v>21</v>
      </c>
    </row>
    <row r="4" spans="1:14" ht="24" customHeight="1" x14ac:dyDescent="0.15">
      <c r="A4" s="74" t="s">
        <v>26</v>
      </c>
      <c r="B4" s="131"/>
      <c r="C4" s="131"/>
      <c r="D4" s="132"/>
      <c r="E4" s="132"/>
      <c r="F4" s="132"/>
      <c r="G4" s="132"/>
      <c r="H4" s="132"/>
      <c r="I4" s="132"/>
      <c r="J4" s="132"/>
      <c r="K4" s="132"/>
      <c r="L4" s="132"/>
      <c r="M4" s="133"/>
      <c r="N4" s="131"/>
    </row>
    <row r="5" spans="1:14" ht="15" x14ac:dyDescent="0.2">
      <c r="A5" s="59" t="s">
        <v>27</v>
      </c>
      <c r="B5" s="123">
        <v>382455</v>
      </c>
      <c r="C5" s="123">
        <v>382455</v>
      </c>
      <c r="D5" s="123">
        <v>382455</v>
      </c>
      <c r="E5" s="123">
        <v>849900</v>
      </c>
      <c r="F5" s="123">
        <v>849900</v>
      </c>
      <c r="G5" s="123">
        <v>849900</v>
      </c>
      <c r="H5" s="123">
        <v>849900</v>
      </c>
      <c r="I5" s="123">
        <v>1500000</v>
      </c>
      <c r="J5" s="123">
        <v>1500000</v>
      </c>
      <c r="K5" s="123">
        <v>1500000</v>
      </c>
      <c r="L5" s="123">
        <v>2400000</v>
      </c>
      <c r="M5" s="123">
        <v>2400000</v>
      </c>
      <c r="N5" s="63">
        <f>SUM(B5:M5)</f>
        <v>13846965</v>
      </c>
    </row>
    <row r="6" spans="1:14" ht="15" x14ac:dyDescent="0.2">
      <c r="A6" s="59" t="s">
        <v>28</v>
      </c>
      <c r="B6" s="45"/>
      <c r="C6" s="45"/>
      <c r="D6" s="45"/>
      <c r="E6" s="45"/>
      <c r="F6" s="45"/>
      <c r="G6" s="45"/>
      <c r="H6" s="45"/>
      <c r="I6" s="45"/>
      <c r="J6" s="45"/>
      <c r="K6" s="45"/>
      <c r="L6" s="45"/>
      <c r="M6" s="45"/>
      <c r="N6" s="76"/>
    </row>
    <row r="7" spans="1:14" ht="15" x14ac:dyDescent="0.2">
      <c r="A7" s="59" t="s">
        <v>29</v>
      </c>
      <c r="B7" s="15">
        <v>45</v>
      </c>
      <c r="C7" s="15">
        <v>45</v>
      </c>
      <c r="D7" s="15">
        <v>45</v>
      </c>
      <c r="E7" s="15">
        <v>100</v>
      </c>
      <c r="F7" s="15">
        <v>100</v>
      </c>
      <c r="G7" s="15">
        <v>100</v>
      </c>
      <c r="H7" s="15">
        <v>100</v>
      </c>
      <c r="I7" s="15">
        <v>125</v>
      </c>
      <c r="J7" s="15">
        <v>125</v>
      </c>
      <c r="K7" s="15">
        <v>125</v>
      </c>
      <c r="L7" s="15">
        <v>200</v>
      </c>
      <c r="M7" s="15">
        <v>200</v>
      </c>
      <c r="N7" s="76"/>
    </row>
    <row r="8" spans="1:14" ht="15" x14ac:dyDescent="0.2">
      <c r="A8" s="59" t="s">
        <v>30</v>
      </c>
      <c r="B8" s="97">
        <v>8499</v>
      </c>
      <c r="C8" s="97">
        <v>8499</v>
      </c>
      <c r="D8" s="97">
        <v>8499</v>
      </c>
      <c r="E8" s="97">
        <v>8499</v>
      </c>
      <c r="F8" s="97">
        <v>8499</v>
      </c>
      <c r="G8" s="97">
        <v>8499</v>
      </c>
      <c r="H8" s="97">
        <v>8499</v>
      </c>
      <c r="I8" s="97">
        <v>12000</v>
      </c>
      <c r="J8" s="97">
        <v>12000</v>
      </c>
      <c r="K8" s="97">
        <v>12000</v>
      </c>
      <c r="L8" s="97">
        <v>12000</v>
      </c>
      <c r="M8" s="97">
        <v>12000</v>
      </c>
      <c r="N8" s="76"/>
    </row>
    <row r="9" spans="1:14" ht="15" x14ac:dyDescent="0.2">
      <c r="A9" s="59" t="s">
        <v>31</v>
      </c>
      <c r="B9" s="15"/>
      <c r="C9" s="15"/>
      <c r="D9" s="15"/>
      <c r="E9" s="15"/>
      <c r="F9" s="15"/>
      <c r="G9" s="15"/>
      <c r="H9" s="15"/>
      <c r="I9" s="15"/>
      <c r="J9" s="15"/>
      <c r="K9" s="15"/>
      <c r="L9" s="15"/>
      <c r="M9" s="15"/>
      <c r="N9" s="76"/>
    </row>
    <row r="10" spans="1:14" x14ac:dyDescent="0.15">
      <c r="A10" s="60" t="s">
        <v>32</v>
      </c>
      <c r="B10" s="66">
        <f>B5+B9+B6</f>
        <v>382455</v>
      </c>
      <c r="C10" s="66">
        <f t="shared" ref="C10:M10" si="1">C5+C9+C6</f>
        <v>382455</v>
      </c>
      <c r="D10" s="66">
        <f t="shared" si="1"/>
        <v>382455</v>
      </c>
      <c r="E10" s="66">
        <f t="shared" si="1"/>
        <v>849900</v>
      </c>
      <c r="F10" s="66">
        <f t="shared" si="1"/>
        <v>849900</v>
      </c>
      <c r="G10" s="66">
        <f t="shared" si="1"/>
        <v>849900</v>
      </c>
      <c r="H10" s="66">
        <f t="shared" si="1"/>
        <v>849900</v>
      </c>
      <c r="I10" s="66">
        <f t="shared" si="1"/>
        <v>1500000</v>
      </c>
      <c r="J10" s="66">
        <f t="shared" si="1"/>
        <v>1500000</v>
      </c>
      <c r="K10" s="66">
        <f t="shared" si="1"/>
        <v>1500000</v>
      </c>
      <c r="L10" s="66">
        <f t="shared" si="1"/>
        <v>2400000</v>
      </c>
      <c r="M10" s="66">
        <f t="shared" si="1"/>
        <v>2400000</v>
      </c>
      <c r="N10" s="63">
        <f>SUM(B10:M10)</f>
        <v>13846965</v>
      </c>
    </row>
    <row r="11" spans="1:14" ht="24" customHeight="1" x14ac:dyDescent="0.15">
      <c r="A11" s="74" t="s">
        <v>33</v>
      </c>
      <c r="B11" s="131"/>
      <c r="C11" s="131"/>
      <c r="D11" s="132"/>
      <c r="E11" s="132"/>
      <c r="F11" s="132"/>
      <c r="G11" s="132"/>
      <c r="H11" s="132"/>
      <c r="I11" s="132"/>
      <c r="J11" s="132"/>
      <c r="K11" s="132"/>
      <c r="L11" s="132"/>
      <c r="M11" s="132"/>
      <c r="N11" s="131"/>
    </row>
    <row r="12" spans="1:14" ht="15" x14ac:dyDescent="0.2">
      <c r="A12" s="59" t="s">
        <v>34</v>
      </c>
      <c r="B12" s="170">
        <v>315000</v>
      </c>
      <c r="C12" s="170">
        <v>315000</v>
      </c>
      <c r="D12" s="170">
        <v>315000</v>
      </c>
      <c r="E12" s="170">
        <v>700000</v>
      </c>
      <c r="F12" s="170">
        <v>700000</v>
      </c>
      <c r="G12" s="170">
        <v>700000</v>
      </c>
      <c r="H12" s="170">
        <v>700000</v>
      </c>
      <c r="I12" s="170">
        <v>1125000</v>
      </c>
      <c r="J12" s="170">
        <v>1125000</v>
      </c>
      <c r="K12" s="170">
        <v>1125000</v>
      </c>
      <c r="L12" s="170">
        <v>1800000</v>
      </c>
      <c r="M12" s="170">
        <v>1800000</v>
      </c>
      <c r="N12" s="64">
        <f>SUM(B12:M12)</f>
        <v>10720000</v>
      </c>
    </row>
    <row r="13" spans="1:14" ht="15" x14ac:dyDescent="0.2">
      <c r="A13" s="59" t="s">
        <v>35</v>
      </c>
      <c r="B13" s="98"/>
      <c r="C13" s="98"/>
      <c r="D13" s="98"/>
      <c r="E13" s="98"/>
      <c r="F13" s="98"/>
      <c r="G13" s="98"/>
      <c r="H13" s="98"/>
      <c r="I13" s="98"/>
      <c r="J13" s="98"/>
      <c r="K13" s="98"/>
      <c r="L13" s="98"/>
      <c r="M13" s="98"/>
      <c r="N13" s="64">
        <f>SUM(B13:M13)</f>
        <v>0</v>
      </c>
    </row>
    <row r="14" spans="1:14" ht="15" x14ac:dyDescent="0.2">
      <c r="A14" s="59" t="s">
        <v>36</v>
      </c>
      <c r="B14" s="171">
        <v>7000</v>
      </c>
      <c r="C14" s="171">
        <v>7000</v>
      </c>
      <c r="D14" s="171">
        <v>7000</v>
      </c>
      <c r="E14" s="171">
        <v>7000</v>
      </c>
      <c r="F14" s="171">
        <v>7000</v>
      </c>
      <c r="G14" s="171">
        <v>7000</v>
      </c>
      <c r="H14" s="171">
        <v>7000</v>
      </c>
      <c r="I14" s="171">
        <v>9000</v>
      </c>
      <c r="J14" s="171">
        <v>9000</v>
      </c>
      <c r="K14" s="171">
        <v>9000</v>
      </c>
      <c r="L14" s="171">
        <v>9000</v>
      </c>
      <c r="M14" s="171">
        <v>9000</v>
      </c>
      <c r="N14" s="63"/>
    </row>
    <row r="15" spans="1:14" x14ac:dyDescent="0.15">
      <c r="A15" s="60" t="s">
        <v>37</v>
      </c>
      <c r="B15" s="66">
        <f>B5-B12-B13</f>
        <v>67455</v>
      </c>
      <c r="C15" s="66">
        <f t="shared" ref="C15:M15" si="2">C5-C12-C13</f>
        <v>67455</v>
      </c>
      <c r="D15" s="66">
        <f t="shared" si="2"/>
        <v>67455</v>
      </c>
      <c r="E15" s="66">
        <f>E5-E12-E13</f>
        <v>149900</v>
      </c>
      <c r="F15" s="66">
        <f t="shared" si="2"/>
        <v>149900</v>
      </c>
      <c r="G15" s="66">
        <f t="shared" si="2"/>
        <v>149900</v>
      </c>
      <c r="H15" s="66">
        <f t="shared" si="2"/>
        <v>149900</v>
      </c>
      <c r="I15" s="66">
        <f t="shared" si="2"/>
        <v>375000</v>
      </c>
      <c r="J15" s="66">
        <f t="shared" si="2"/>
        <v>375000</v>
      </c>
      <c r="K15" s="66">
        <f t="shared" si="2"/>
        <v>375000</v>
      </c>
      <c r="L15" s="66">
        <f t="shared" si="2"/>
        <v>600000</v>
      </c>
      <c r="M15" s="66">
        <f t="shared" si="2"/>
        <v>600000</v>
      </c>
      <c r="N15" s="62">
        <f>N5-N12+N13</f>
        <v>3126965</v>
      </c>
    </row>
    <row r="16" spans="1:14" ht="24.75" customHeight="1" x14ac:dyDescent="0.15">
      <c r="A16" s="75" t="s">
        <v>38</v>
      </c>
      <c r="B16" s="131"/>
      <c r="C16" s="131"/>
      <c r="D16" s="131"/>
      <c r="E16" s="131"/>
      <c r="F16" s="131"/>
      <c r="G16" s="131"/>
      <c r="H16" s="131"/>
      <c r="I16" s="131"/>
      <c r="J16" s="131"/>
      <c r="K16" s="131"/>
      <c r="L16" s="131"/>
      <c r="M16" s="131"/>
      <c r="N16" s="76"/>
    </row>
    <row r="17" spans="1:14" ht="14.25" customHeight="1" x14ac:dyDescent="0.2">
      <c r="A17" s="59" t="s">
        <v>39</v>
      </c>
      <c r="B17" s="45">
        <v>0</v>
      </c>
      <c r="C17" s="45">
        <v>0</v>
      </c>
      <c r="D17" s="45">
        <v>0</v>
      </c>
      <c r="E17" s="123">
        <v>69000</v>
      </c>
      <c r="F17" s="123">
        <v>69000</v>
      </c>
      <c r="G17" s="123">
        <v>69000</v>
      </c>
      <c r="H17" s="123">
        <v>122000</v>
      </c>
      <c r="I17" s="123">
        <v>122000</v>
      </c>
      <c r="J17" s="123">
        <v>122000</v>
      </c>
      <c r="K17" s="123">
        <v>122000</v>
      </c>
      <c r="L17" s="123">
        <v>122000</v>
      </c>
      <c r="M17" s="123">
        <v>122000</v>
      </c>
      <c r="N17" s="65">
        <f>SUM(B17:M17)</f>
        <v>939000</v>
      </c>
    </row>
    <row r="18" spans="1:14" ht="15" x14ac:dyDescent="0.2">
      <c r="A18" s="59" t="s">
        <v>40</v>
      </c>
      <c r="B18" s="123">
        <v>2000</v>
      </c>
      <c r="C18" s="123">
        <v>2000</v>
      </c>
      <c r="D18" s="123">
        <v>2000</v>
      </c>
      <c r="E18" s="123">
        <v>5000</v>
      </c>
      <c r="F18" s="123">
        <v>5000</v>
      </c>
      <c r="G18" s="123">
        <v>5000</v>
      </c>
      <c r="H18" s="123">
        <v>5000</v>
      </c>
      <c r="I18" s="123">
        <v>5000</v>
      </c>
      <c r="J18" s="123">
        <v>10000</v>
      </c>
      <c r="K18" s="123">
        <v>10000</v>
      </c>
      <c r="L18" s="123">
        <v>10000</v>
      </c>
      <c r="M18" s="123">
        <v>10000</v>
      </c>
      <c r="N18" s="65">
        <f t="shared" ref="N18:N22" si="3">SUM(B18:M18)</f>
        <v>71000</v>
      </c>
    </row>
    <row r="19" spans="1:14" ht="15" x14ac:dyDescent="0.2">
      <c r="A19" s="59" t="s">
        <v>115</v>
      </c>
      <c r="B19" s="97">
        <v>21000</v>
      </c>
      <c r="C19" s="97">
        <v>21000</v>
      </c>
      <c r="D19" s="97">
        <v>21000</v>
      </c>
      <c r="E19" s="97">
        <v>35000</v>
      </c>
      <c r="F19" s="97">
        <v>35000</v>
      </c>
      <c r="G19" s="97">
        <v>35000</v>
      </c>
      <c r="H19" s="97">
        <v>35000</v>
      </c>
      <c r="I19" s="97">
        <v>60000</v>
      </c>
      <c r="J19" s="97">
        <v>60000</v>
      </c>
      <c r="K19" s="97">
        <v>60000</v>
      </c>
      <c r="L19" s="97">
        <v>96000</v>
      </c>
      <c r="M19" s="97">
        <v>96000</v>
      </c>
      <c r="N19" s="65">
        <f>SUM(B19:M19)</f>
        <v>575000</v>
      </c>
    </row>
    <row r="20" spans="1:14" ht="15" x14ac:dyDescent="0.2">
      <c r="A20" s="59" t="s">
        <v>111</v>
      </c>
      <c r="B20" s="97">
        <v>0</v>
      </c>
      <c r="C20" s="97">
        <v>0</v>
      </c>
      <c r="D20" s="97">
        <v>0</v>
      </c>
      <c r="E20" s="97">
        <v>0</v>
      </c>
      <c r="F20" s="97">
        <v>0</v>
      </c>
      <c r="G20" s="97">
        <v>0</v>
      </c>
      <c r="H20" s="97">
        <v>10000</v>
      </c>
      <c r="I20" s="97">
        <v>10000</v>
      </c>
      <c r="J20" s="97">
        <v>10000</v>
      </c>
      <c r="K20" s="97">
        <v>10000</v>
      </c>
      <c r="L20" s="97">
        <v>10000</v>
      </c>
      <c r="M20" s="97">
        <v>10000</v>
      </c>
      <c r="N20" s="29">
        <f t="shared" si="3"/>
        <v>60000</v>
      </c>
    </row>
    <row r="21" spans="1:14" ht="15" x14ac:dyDescent="0.2">
      <c r="A21" s="59" t="s">
        <v>112</v>
      </c>
      <c r="B21" s="97">
        <v>21000</v>
      </c>
      <c r="C21" s="97">
        <v>21000</v>
      </c>
      <c r="D21" s="97">
        <v>21000</v>
      </c>
      <c r="E21" s="97">
        <v>35000</v>
      </c>
      <c r="F21" s="97">
        <v>35000</v>
      </c>
      <c r="G21" s="97">
        <v>35000</v>
      </c>
      <c r="H21" s="97">
        <v>35000</v>
      </c>
      <c r="I21" s="97">
        <v>120000</v>
      </c>
      <c r="J21" s="97">
        <v>120000</v>
      </c>
      <c r="K21" s="97">
        <v>120000</v>
      </c>
      <c r="L21" s="97">
        <v>192000</v>
      </c>
      <c r="M21" s="97">
        <v>192000</v>
      </c>
      <c r="N21" s="29">
        <f t="shared" si="3"/>
        <v>947000</v>
      </c>
    </row>
    <row r="22" spans="1:14" ht="15" x14ac:dyDescent="0.2">
      <c r="A22" s="59" t="s">
        <v>41</v>
      </c>
      <c r="B22" s="97">
        <v>5000</v>
      </c>
      <c r="C22" s="97">
        <v>5000</v>
      </c>
      <c r="D22" s="97">
        <v>5000</v>
      </c>
      <c r="E22" s="97">
        <v>5000</v>
      </c>
      <c r="F22" s="97">
        <v>5000</v>
      </c>
      <c r="G22" s="97">
        <v>5000</v>
      </c>
      <c r="H22" s="97">
        <v>10000</v>
      </c>
      <c r="I22" s="97">
        <v>10000</v>
      </c>
      <c r="J22" s="97">
        <v>10000</v>
      </c>
      <c r="K22" s="97">
        <v>10000</v>
      </c>
      <c r="L22" s="97">
        <v>10000</v>
      </c>
      <c r="M22" s="97">
        <v>10000</v>
      </c>
      <c r="N22" s="29">
        <f t="shared" si="3"/>
        <v>90000</v>
      </c>
    </row>
    <row r="23" spans="1:14" ht="15" x14ac:dyDescent="0.2">
      <c r="A23" s="59"/>
      <c r="B23" s="100"/>
      <c r="C23" s="100"/>
      <c r="D23" s="100"/>
      <c r="E23" s="100"/>
      <c r="F23" s="100"/>
      <c r="G23" s="100"/>
      <c r="H23" s="100"/>
      <c r="I23" s="100"/>
      <c r="J23" s="100"/>
      <c r="K23" s="100"/>
      <c r="L23" s="100"/>
      <c r="M23" s="100"/>
      <c r="N23" s="101"/>
    </row>
    <row r="24" spans="1:14" x14ac:dyDescent="0.15">
      <c r="A24" s="60" t="s">
        <v>42</v>
      </c>
      <c r="B24" s="66">
        <f t="shared" ref="B24:M24" si="4">SUM(B17:B22)</f>
        <v>49000</v>
      </c>
      <c r="C24" s="66">
        <f t="shared" si="4"/>
        <v>49000</v>
      </c>
      <c r="D24" s="66">
        <f t="shared" si="4"/>
        <v>49000</v>
      </c>
      <c r="E24" s="66">
        <f t="shared" si="4"/>
        <v>149000</v>
      </c>
      <c r="F24" s="66">
        <f t="shared" si="4"/>
        <v>149000</v>
      </c>
      <c r="G24" s="66">
        <f t="shared" si="4"/>
        <v>149000</v>
      </c>
      <c r="H24" s="66">
        <f t="shared" si="4"/>
        <v>217000</v>
      </c>
      <c r="I24" s="66">
        <f t="shared" si="4"/>
        <v>327000</v>
      </c>
      <c r="J24" s="66">
        <f t="shared" si="4"/>
        <v>332000</v>
      </c>
      <c r="K24" s="66">
        <f t="shared" si="4"/>
        <v>332000</v>
      </c>
      <c r="L24" s="66">
        <f t="shared" si="4"/>
        <v>440000</v>
      </c>
      <c r="M24" s="66">
        <f t="shared" si="4"/>
        <v>440000</v>
      </c>
      <c r="N24" s="62">
        <f>SUM(B24:M24)</f>
        <v>2682000</v>
      </c>
    </row>
    <row r="25" spans="1:14" ht="24.75" customHeight="1" x14ac:dyDescent="0.15">
      <c r="A25" s="75" t="s">
        <v>43</v>
      </c>
      <c r="B25" s="131"/>
      <c r="C25" s="131"/>
      <c r="D25" s="131"/>
      <c r="E25" s="131"/>
      <c r="F25" s="131"/>
      <c r="G25" s="131"/>
      <c r="H25" s="131"/>
      <c r="I25" s="131"/>
      <c r="J25" s="131"/>
      <c r="K25" s="131"/>
      <c r="L25" s="131"/>
      <c r="M25" s="131"/>
      <c r="N25" s="76"/>
    </row>
    <row r="26" spans="1:14" x14ac:dyDescent="0.15">
      <c r="A26" s="61" t="s">
        <v>44</v>
      </c>
      <c r="B26" s="134">
        <f t="shared" ref="B26:N26" si="5">B15-B24</f>
        <v>18455</v>
      </c>
      <c r="C26" s="135">
        <f t="shared" si="5"/>
        <v>18455</v>
      </c>
      <c r="D26" s="135">
        <f t="shared" si="5"/>
        <v>18455</v>
      </c>
      <c r="E26" s="135">
        <f t="shared" si="5"/>
        <v>900</v>
      </c>
      <c r="F26" s="135">
        <f t="shared" si="5"/>
        <v>900</v>
      </c>
      <c r="G26" s="135">
        <f t="shared" si="5"/>
        <v>900</v>
      </c>
      <c r="H26" s="135">
        <f t="shared" si="5"/>
        <v>-67100</v>
      </c>
      <c r="I26" s="135">
        <f t="shared" si="5"/>
        <v>48000</v>
      </c>
      <c r="J26" s="135">
        <f t="shared" si="5"/>
        <v>43000</v>
      </c>
      <c r="K26" s="135">
        <f t="shared" si="5"/>
        <v>43000</v>
      </c>
      <c r="L26" s="135">
        <f t="shared" si="5"/>
        <v>160000</v>
      </c>
      <c r="M26" s="136">
        <f t="shared" si="5"/>
        <v>160000</v>
      </c>
      <c r="N26" s="67">
        <f t="shared" si="5"/>
        <v>444965</v>
      </c>
    </row>
    <row r="27" spans="1:14" x14ac:dyDescent="0.15">
      <c r="A27" s="61" t="s">
        <v>45</v>
      </c>
      <c r="B27" s="137">
        <f t="shared" ref="B27:N27" si="6">IF(ISERROR(B15/B5)," ",B15/B5)</f>
        <v>0.17637369102247324</v>
      </c>
      <c r="C27" s="138">
        <f t="shared" si="6"/>
        <v>0.17637369102247324</v>
      </c>
      <c r="D27" s="138">
        <f t="shared" si="6"/>
        <v>0.17637369102247324</v>
      </c>
      <c r="E27" s="138">
        <f t="shared" si="6"/>
        <v>0.17637369102247324</v>
      </c>
      <c r="F27" s="138">
        <f t="shared" si="6"/>
        <v>0.17637369102247324</v>
      </c>
      <c r="G27" s="138">
        <f t="shared" si="6"/>
        <v>0.17637369102247324</v>
      </c>
      <c r="H27" s="138">
        <f t="shared" si="6"/>
        <v>0.17637369102247324</v>
      </c>
      <c r="I27" s="138">
        <f t="shared" si="6"/>
        <v>0.25</v>
      </c>
      <c r="J27" s="138">
        <f t="shared" si="6"/>
        <v>0.25</v>
      </c>
      <c r="K27" s="138">
        <f t="shared" si="6"/>
        <v>0.25</v>
      </c>
      <c r="L27" s="138">
        <f t="shared" si="6"/>
        <v>0.25</v>
      </c>
      <c r="M27" s="139">
        <f t="shared" si="6"/>
        <v>0.25</v>
      </c>
      <c r="N27" s="77">
        <f t="shared" si="6"/>
        <v>0.22582313163931592</v>
      </c>
    </row>
    <row r="28" spans="1:14" x14ac:dyDescent="0.15">
      <c r="A28" s="61" t="s">
        <v>46</v>
      </c>
      <c r="B28" s="140">
        <f t="shared" ref="B28:N28" si="7">IF(ISERROR(B26/B5)," ",B26/B5)</f>
        <v>4.8254042959302398E-2</v>
      </c>
      <c r="C28" s="141">
        <f t="shared" si="7"/>
        <v>4.8254042959302398E-2</v>
      </c>
      <c r="D28" s="141">
        <f t="shared" si="7"/>
        <v>4.8254042959302398E-2</v>
      </c>
      <c r="E28" s="141">
        <f t="shared" si="7"/>
        <v>1.0589481115425344E-3</v>
      </c>
      <c r="F28" s="141">
        <f t="shared" si="7"/>
        <v>1.0589481115425344E-3</v>
      </c>
      <c r="G28" s="141">
        <f t="shared" si="7"/>
        <v>1.0589481115425344E-3</v>
      </c>
      <c r="H28" s="141">
        <f t="shared" si="7"/>
        <v>-7.8950464760560071E-2</v>
      </c>
      <c r="I28" s="141">
        <f t="shared" si="7"/>
        <v>3.2000000000000001E-2</v>
      </c>
      <c r="J28" s="141">
        <f t="shared" si="7"/>
        <v>2.8666666666666667E-2</v>
      </c>
      <c r="K28" s="141">
        <f t="shared" si="7"/>
        <v>2.8666666666666667E-2</v>
      </c>
      <c r="L28" s="141">
        <f t="shared" si="7"/>
        <v>6.6666666666666666E-2</v>
      </c>
      <c r="M28" s="142">
        <f t="shared" si="7"/>
        <v>6.6666666666666666E-2</v>
      </c>
      <c r="N28" s="77">
        <f t="shared" si="7"/>
        <v>3.213447856624177E-2</v>
      </c>
    </row>
    <row r="29" spans="1:14" ht="6.75" customHeight="1" x14ac:dyDescent="0.15">
      <c r="A29" s="4"/>
      <c r="B29" s="4"/>
      <c r="C29" s="4"/>
      <c r="D29" s="4"/>
      <c r="E29" s="4"/>
      <c r="F29" s="4"/>
      <c r="G29" s="4"/>
      <c r="H29" s="14"/>
      <c r="I29" s="14"/>
      <c r="J29" s="14"/>
      <c r="K29" s="14"/>
      <c r="L29" s="14"/>
      <c r="M29" s="14"/>
      <c r="N29" s="14"/>
    </row>
    <row r="30" spans="1:14" s="3" customFormat="1" x14ac:dyDescent="0.15">
      <c r="A30" s="5"/>
      <c r="B30" s="4"/>
      <c r="C30" s="4"/>
      <c r="D30" s="4"/>
      <c r="E30" s="4"/>
      <c r="F30" s="4"/>
      <c r="G30" s="4"/>
    </row>
    <row r="31" spans="1:14" s="3" customFormat="1" x14ac:dyDescent="0.15">
      <c r="A31" s="5"/>
      <c r="B31" s="4"/>
      <c r="C31" s="4"/>
      <c r="D31" s="4"/>
      <c r="E31" s="4"/>
      <c r="F31" s="4"/>
      <c r="G31" s="4"/>
    </row>
    <row r="32" spans="1:14" s="4" customFormat="1" x14ac:dyDescent="0.15">
      <c r="B32" s="6"/>
      <c r="C32" s="6"/>
      <c r="D32" s="6"/>
      <c r="E32" s="6"/>
      <c r="F32" s="6"/>
      <c r="G32" s="6"/>
    </row>
    <row r="33" spans="1:11" s="4" customFormat="1" x14ac:dyDescent="0.15">
      <c r="B33" s="7"/>
      <c r="C33" s="7"/>
      <c r="D33" s="7"/>
      <c r="E33" s="7"/>
      <c r="F33" s="7"/>
      <c r="G33" s="7"/>
    </row>
    <row r="35" spans="1:11" x14ac:dyDescent="0.15">
      <c r="A35" s="14"/>
      <c r="B35" s="14"/>
      <c r="C35" s="14"/>
      <c r="D35" s="14"/>
      <c r="E35" s="14"/>
      <c r="F35" s="14"/>
      <c r="G35" s="14"/>
      <c r="H35" s="14"/>
      <c r="I35" s="14"/>
      <c r="J35" s="14"/>
      <c r="K35" s="14" t="s">
        <v>47</v>
      </c>
    </row>
  </sheetData>
  <phoneticPr fontId="15" type="noConversion"/>
  <conditionalFormatting sqref="B5:M9 B20:M23">
    <cfRule type="containsBlanks" dxfId="19" priority="2">
      <formula>LEN(TRIM(B5))=0</formula>
    </cfRule>
  </conditionalFormatting>
  <conditionalFormatting sqref="B12:M14">
    <cfRule type="containsBlanks" dxfId="18" priority="5">
      <formula>LEN(TRIM(B12))=0</formula>
    </cfRule>
  </conditionalFormatting>
  <conditionalFormatting sqref="B17:M19">
    <cfRule type="containsBlanks" dxfId="17" priority="1">
      <formula>LEN(TRIM(B17))=0</formula>
    </cfRule>
  </conditionalFormatting>
  <dataValidations count="1">
    <dataValidation allowBlank="1" showInputMessage="1" showErrorMessage="1" sqref="B26:N28 D12:M14 D15:N15 D5:M10 B4:B25 C16:E25 C4:C15 F17:M24" xr:uid="{00000000-0002-0000-0200-000000000000}"/>
  </dataValidations>
  <pageMargins left="0.75" right="0.75" top="1" bottom="1" header="0.5" footer="0.5"/>
  <pageSetup paperSize="9" scale="45" orientation="portrait" horizontalDpi="1200" verticalDpi="1200" r:id="rId1"/>
  <headerFooter alignWithMargins="0">
    <oddHeader>&amp;L&amp;"System Font,Regular"&amp;K000000Practice Venture Worksheet&amp;RPROFIT &amp; LOSS FORECAST</oddHeader>
    <oddFooter>&amp;L© 2018 Wadhwani Foundation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21"/>
  <sheetViews>
    <sheetView showGridLines="0" zoomScale="158" zoomScaleNormal="157" workbookViewId="0">
      <selection activeCell="M22" sqref="M22"/>
    </sheetView>
  </sheetViews>
  <sheetFormatPr baseColWidth="10" defaultColWidth="11.5" defaultRowHeight="11" x14ac:dyDescent="0.15"/>
  <cols>
    <col min="1" max="1" width="24.5" style="2" customWidth="1"/>
    <col min="2" max="14" width="12.6640625" style="2" customWidth="1"/>
    <col min="15" max="16384" width="11.5" style="2"/>
  </cols>
  <sheetData>
    <row r="1" spans="1:14" ht="18.75" customHeight="1" x14ac:dyDescent="0.15">
      <c r="A1" s="55" t="s">
        <v>48</v>
      </c>
      <c r="B1" s="129"/>
      <c r="C1" s="129"/>
      <c r="D1" s="129"/>
      <c r="E1" s="129"/>
      <c r="F1" s="129"/>
      <c r="G1" s="129"/>
      <c r="H1" s="129"/>
      <c r="I1" s="129"/>
      <c r="J1" s="129"/>
      <c r="K1" s="129"/>
      <c r="L1" s="129"/>
      <c r="M1" s="129"/>
      <c r="N1" s="129"/>
    </row>
    <row r="2" spans="1:14" ht="6" customHeight="1" x14ac:dyDescent="0.15">
      <c r="A2" s="122"/>
      <c r="B2" s="122"/>
      <c r="C2" s="122"/>
      <c r="D2" s="9"/>
      <c r="E2" s="130"/>
      <c r="F2" s="122"/>
      <c r="G2" s="122"/>
      <c r="H2" s="122"/>
      <c r="I2" s="122"/>
      <c r="J2" s="122"/>
      <c r="K2" s="122"/>
      <c r="L2" s="122"/>
      <c r="M2" s="122"/>
      <c r="N2" s="122"/>
    </row>
    <row r="3" spans="1:14" s="8" customFormat="1" ht="13" x14ac:dyDescent="0.15">
      <c r="A3" s="58"/>
      <c r="B3" s="69">
        <f>Instructions!D18</f>
        <v>0</v>
      </c>
      <c r="C3" s="33">
        <f t="shared" ref="C3:M3" si="0">DATE(YEAR(B3),MONTH(B3)+1,DAY(B3))</f>
        <v>31</v>
      </c>
      <c r="D3" s="33">
        <f t="shared" si="0"/>
        <v>62</v>
      </c>
      <c r="E3" s="33">
        <f t="shared" si="0"/>
        <v>93</v>
      </c>
      <c r="F3" s="33">
        <f t="shared" si="0"/>
        <v>123</v>
      </c>
      <c r="G3" s="33">
        <f t="shared" si="0"/>
        <v>154</v>
      </c>
      <c r="H3" s="33">
        <f t="shared" si="0"/>
        <v>184</v>
      </c>
      <c r="I3" s="33">
        <f t="shared" si="0"/>
        <v>215</v>
      </c>
      <c r="J3" s="33">
        <f t="shared" si="0"/>
        <v>246</v>
      </c>
      <c r="K3" s="33">
        <f t="shared" si="0"/>
        <v>276</v>
      </c>
      <c r="L3" s="33">
        <f t="shared" si="0"/>
        <v>307</v>
      </c>
      <c r="M3" s="72">
        <f t="shared" si="0"/>
        <v>337</v>
      </c>
      <c r="N3" s="95" t="s">
        <v>21</v>
      </c>
    </row>
    <row r="4" spans="1:14" ht="15" x14ac:dyDescent="0.2">
      <c r="A4" s="122" t="s">
        <v>49</v>
      </c>
      <c r="B4" s="97">
        <v>600000</v>
      </c>
      <c r="C4" s="143">
        <v>618455</v>
      </c>
      <c r="D4" s="144">
        <f t="shared" ref="D4:M4" si="1">C16</f>
        <v>636910</v>
      </c>
      <c r="E4" s="144">
        <f t="shared" si="1"/>
        <v>655365</v>
      </c>
      <c r="F4" s="144">
        <f t="shared" si="1"/>
        <v>656265</v>
      </c>
      <c r="G4" s="144">
        <f t="shared" si="1"/>
        <v>657165</v>
      </c>
      <c r="H4" s="144">
        <f t="shared" si="1"/>
        <v>658065</v>
      </c>
      <c r="I4" s="144">
        <f t="shared" si="1"/>
        <v>590965</v>
      </c>
      <c r="J4" s="144">
        <f t="shared" si="1"/>
        <v>638965</v>
      </c>
      <c r="K4" s="144">
        <f t="shared" si="1"/>
        <v>681965</v>
      </c>
      <c r="L4" s="144">
        <f t="shared" si="1"/>
        <v>724965</v>
      </c>
      <c r="M4" s="145">
        <f t="shared" si="1"/>
        <v>884965</v>
      </c>
      <c r="N4" s="131"/>
    </row>
    <row r="5" spans="1:14" ht="24" customHeight="1" x14ac:dyDescent="0.15">
      <c r="A5" s="74" t="s">
        <v>50</v>
      </c>
      <c r="B5" s="131"/>
      <c r="C5" s="131"/>
      <c r="D5" s="132"/>
      <c r="E5" s="132"/>
      <c r="F5" s="132"/>
      <c r="G5" s="132"/>
      <c r="H5" s="132"/>
      <c r="I5" s="132"/>
      <c r="J5" s="132"/>
      <c r="K5" s="132"/>
      <c r="L5" s="132"/>
      <c r="M5" s="132"/>
      <c r="N5" s="131"/>
    </row>
    <row r="6" spans="1:14" x14ac:dyDescent="0.15">
      <c r="A6" s="59" t="s">
        <v>32</v>
      </c>
      <c r="B6" s="146">
        <f>'2. Forecast P&amp;L'!B10</f>
        <v>382455</v>
      </c>
      <c r="C6" s="147">
        <f>'2. Forecast P&amp;L'!C10</f>
        <v>382455</v>
      </c>
      <c r="D6" s="147">
        <f>'2. Forecast P&amp;L'!D10</f>
        <v>382455</v>
      </c>
      <c r="E6" s="147">
        <f>'2. Forecast P&amp;L'!E10</f>
        <v>849900</v>
      </c>
      <c r="F6" s="147">
        <f>'2. Forecast P&amp;L'!F10</f>
        <v>849900</v>
      </c>
      <c r="G6" s="147">
        <f>'2. Forecast P&amp;L'!G10</f>
        <v>849900</v>
      </c>
      <c r="H6" s="147">
        <f>'2. Forecast P&amp;L'!H10</f>
        <v>849900</v>
      </c>
      <c r="I6" s="147">
        <f>'2. Forecast P&amp;L'!I10</f>
        <v>1500000</v>
      </c>
      <c r="J6" s="147">
        <f>'2. Forecast P&amp;L'!J10</f>
        <v>1500000</v>
      </c>
      <c r="K6" s="147">
        <f>'2. Forecast P&amp;L'!K10</f>
        <v>1500000</v>
      </c>
      <c r="L6" s="147">
        <f>'2. Forecast P&amp;L'!L10</f>
        <v>2400000</v>
      </c>
      <c r="M6" s="147">
        <f>'2. Forecast P&amp;L'!M10</f>
        <v>2400000</v>
      </c>
      <c r="N6" s="63">
        <f>B6+C6+D6+E6+F6+G6+H6+I6+J6+K6+L6+M6</f>
        <v>13846965</v>
      </c>
    </row>
    <row r="7" spans="1:14" ht="24.75" customHeight="1" x14ac:dyDescent="0.15">
      <c r="A7" s="75" t="s">
        <v>51</v>
      </c>
      <c r="B7" s="131"/>
      <c r="C7" s="131"/>
      <c r="D7" s="131"/>
      <c r="E7" s="131"/>
      <c r="F7" s="131"/>
      <c r="G7" s="131"/>
      <c r="H7" s="131"/>
      <c r="I7" s="131"/>
      <c r="J7" s="131"/>
      <c r="K7" s="131"/>
      <c r="L7" s="131"/>
      <c r="M7" s="131"/>
      <c r="N7" s="131"/>
    </row>
    <row r="8" spans="1:14" x14ac:dyDescent="0.15">
      <c r="A8" s="59" t="s">
        <v>52</v>
      </c>
      <c r="B8" s="146">
        <f>'2. Forecast P&amp;L'!B12</f>
        <v>315000</v>
      </c>
      <c r="C8" s="147">
        <f>'2. Forecast P&amp;L'!C12</f>
        <v>315000</v>
      </c>
      <c r="D8" s="147">
        <f>'2. Forecast P&amp;L'!D12</f>
        <v>315000</v>
      </c>
      <c r="E8" s="147">
        <f>'2. Forecast P&amp;L'!E12</f>
        <v>700000</v>
      </c>
      <c r="F8" s="147">
        <f>'2. Forecast P&amp;L'!F12</f>
        <v>700000</v>
      </c>
      <c r="G8" s="147">
        <f>'2. Forecast P&amp;L'!G12</f>
        <v>700000</v>
      </c>
      <c r="H8" s="147">
        <f>'2. Forecast P&amp;L'!H12</f>
        <v>700000</v>
      </c>
      <c r="I8" s="147">
        <f>'2. Forecast P&amp;L'!I12</f>
        <v>1125000</v>
      </c>
      <c r="J8" s="147">
        <f>'2. Forecast P&amp;L'!J12</f>
        <v>1125000</v>
      </c>
      <c r="K8" s="147">
        <f>'2. Forecast P&amp;L'!K12</f>
        <v>1125000</v>
      </c>
      <c r="L8" s="147">
        <f>'2. Forecast P&amp;L'!L12</f>
        <v>1800000</v>
      </c>
      <c r="M8" s="148">
        <f>'2. Forecast P&amp;L'!M12</f>
        <v>1800000</v>
      </c>
      <c r="N8" s="131"/>
    </row>
    <row r="9" spans="1:14" x14ac:dyDescent="0.15">
      <c r="A9" s="59" t="s">
        <v>38</v>
      </c>
      <c r="B9" s="146">
        <f>'2. Forecast P&amp;L'!B24</f>
        <v>49000</v>
      </c>
      <c r="C9" s="147">
        <f>'2. Forecast P&amp;L'!C24</f>
        <v>49000</v>
      </c>
      <c r="D9" s="147">
        <f>'2. Forecast P&amp;L'!D24</f>
        <v>49000</v>
      </c>
      <c r="E9" s="147">
        <f>'2. Forecast P&amp;L'!E24</f>
        <v>149000</v>
      </c>
      <c r="F9" s="147">
        <f>'2. Forecast P&amp;L'!F24</f>
        <v>149000</v>
      </c>
      <c r="G9" s="147">
        <f>'2. Forecast P&amp;L'!G24</f>
        <v>149000</v>
      </c>
      <c r="H9" s="147">
        <f>'2. Forecast P&amp;L'!H24</f>
        <v>217000</v>
      </c>
      <c r="I9" s="147">
        <f>'2. Forecast P&amp;L'!I24</f>
        <v>327000</v>
      </c>
      <c r="J9" s="147">
        <f>'2. Forecast P&amp;L'!J24</f>
        <v>332000</v>
      </c>
      <c r="K9" s="147">
        <f>'2. Forecast P&amp;L'!K24</f>
        <v>332000</v>
      </c>
      <c r="L9" s="147">
        <f>'2. Forecast P&amp;L'!L24</f>
        <v>440000</v>
      </c>
      <c r="M9" s="148">
        <f>'2. Forecast P&amp;L'!M24</f>
        <v>440000</v>
      </c>
      <c r="N9" s="131"/>
    </row>
    <row r="10" spans="1:14" ht="15" x14ac:dyDescent="0.2">
      <c r="A10" s="59" t="s">
        <v>53</v>
      </c>
      <c r="B10" s="97">
        <v>0</v>
      </c>
      <c r="C10" s="15"/>
      <c r="D10" s="15"/>
      <c r="E10" s="15"/>
      <c r="F10" s="15"/>
      <c r="G10" s="15"/>
      <c r="H10" s="15"/>
      <c r="I10" s="15"/>
      <c r="J10" s="15"/>
      <c r="K10" s="15"/>
      <c r="L10" s="15"/>
      <c r="M10" s="15"/>
      <c r="N10" s="131"/>
    </row>
    <row r="11" spans="1:14" ht="15" x14ac:dyDescent="0.2">
      <c r="A11" s="59" t="s">
        <v>54</v>
      </c>
      <c r="B11" s="15"/>
      <c r="C11" s="68"/>
      <c r="D11" s="68"/>
      <c r="E11" s="68"/>
      <c r="F11" s="68"/>
      <c r="G11" s="68"/>
      <c r="H11" s="68"/>
      <c r="I11" s="68"/>
      <c r="J11" s="68"/>
      <c r="K11" s="68"/>
      <c r="L11" s="68"/>
      <c r="M11" s="68"/>
      <c r="N11" s="68"/>
    </row>
    <row r="12" spans="1:14" ht="15" x14ac:dyDescent="0.2">
      <c r="A12" s="59" t="s">
        <v>55</v>
      </c>
      <c r="B12" s="15"/>
      <c r="C12" s="15"/>
      <c r="D12" s="15"/>
      <c r="E12" s="15"/>
      <c r="F12" s="15"/>
      <c r="G12" s="15"/>
      <c r="H12" s="15"/>
      <c r="I12" s="15"/>
      <c r="J12" s="15"/>
      <c r="K12" s="15"/>
      <c r="L12" s="97">
        <v>0</v>
      </c>
      <c r="M12" s="97">
        <v>0</v>
      </c>
      <c r="N12" s="131"/>
    </row>
    <row r="13" spans="1:14" x14ac:dyDescent="0.15">
      <c r="A13" s="60" t="s">
        <v>20</v>
      </c>
      <c r="B13" s="149">
        <f t="shared" ref="B13:N13" si="2">SUM(B8:B12)</f>
        <v>364000</v>
      </c>
      <c r="C13" s="150">
        <f t="shared" si="2"/>
        <v>364000</v>
      </c>
      <c r="D13" s="150">
        <f t="shared" si="2"/>
        <v>364000</v>
      </c>
      <c r="E13" s="150">
        <f t="shared" si="2"/>
        <v>849000</v>
      </c>
      <c r="F13" s="150">
        <f t="shared" si="2"/>
        <v>849000</v>
      </c>
      <c r="G13" s="150">
        <f t="shared" si="2"/>
        <v>849000</v>
      </c>
      <c r="H13" s="150">
        <f t="shared" si="2"/>
        <v>917000</v>
      </c>
      <c r="I13" s="150">
        <f t="shared" si="2"/>
        <v>1452000</v>
      </c>
      <c r="J13" s="150">
        <f t="shared" si="2"/>
        <v>1457000</v>
      </c>
      <c r="K13" s="150">
        <f t="shared" si="2"/>
        <v>1457000</v>
      </c>
      <c r="L13" s="150">
        <f t="shared" si="2"/>
        <v>2240000</v>
      </c>
      <c r="M13" s="151">
        <f t="shared" si="2"/>
        <v>2240000</v>
      </c>
      <c r="N13" s="63">
        <f t="shared" si="2"/>
        <v>0</v>
      </c>
    </row>
    <row r="14" spans="1:14" ht="24.75" customHeight="1" x14ac:dyDescent="0.15">
      <c r="A14" s="75" t="s">
        <v>43</v>
      </c>
      <c r="B14" s="131"/>
      <c r="C14" s="131"/>
      <c r="D14" s="131"/>
      <c r="E14" s="131"/>
      <c r="F14" s="131"/>
      <c r="G14" s="131"/>
      <c r="H14" s="131"/>
      <c r="I14" s="131"/>
      <c r="J14" s="131"/>
      <c r="K14" s="131"/>
      <c r="L14" s="131"/>
      <c r="M14" s="131"/>
      <c r="N14" s="152"/>
    </row>
    <row r="15" spans="1:14" x14ac:dyDescent="0.15">
      <c r="A15" s="59" t="s">
        <v>56</v>
      </c>
      <c r="B15" s="153">
        <f>IF(ISERR(B6-B13),"",(B6-B13))</f>
        <v>18455</v>
      </c>
      <c r="C15" s="144">
        <f t="shared" ref="C15:M15" si="3">IF(ISERR(C6-C13),"",(C6-C13))</f>
        <v>18455</v>
      </c>
      <c r="D15" s="144">
        <f t="shared" si="3"/>
        <v>18455</v>
      </c>
      <c r="E15" s="144">
        <f t="shared" si="3"/>
        <v>900</v>
      </c>
      <c r="F15" s="144">
        <f t="shared" si="3"/>
        <v>900</v>
      </c>
      <c r="G15" s="144">
        <f t="shared" si="3"/>
        <v>900</v>
      </c>
      <c r="H15" s="144">
        <f t="shared" si="3"/>
        <v>-67100</v>
      </c>
      <c r="I15" s="144">
        <f t="shared" si="3"/>
        <v>48000</v>
      </c>
      <c r="J15" s="144">
        <f t="shared" si="3"/>
        <v>43000</v>
      </c>
      <c r="K15" s="144">
        <f t="shared" si="3"/>
        <v>43000</v>
      </c>
      <c r="L15" s="144">
        <f t="shared" si="3"/>
        <v>160000</v>
      </c>
      <c r="M15" s="145">
        <f t="shared" si="3"/>
        <v>160000</v>
      </c>
      <c r="N15" s="131"/>
    </row>
    <row r="16" spans="1:14" x14ac:dyDescent="0.15">
      <c r="A16" s="61" t="s">
        <v>57</v>
      </c>
      <c r="B16" s="71">
        <f t="shared" ref="B16:M16" si="4">IF(ISERR(B4+B15),"",B4+B15)</f>
        <v>618455</v>
      </c>
      <c r="C16" s="30">
        <f t="shared" si="4"/>
        <v>636910</v>
      </c>
      <c r="D16" s="30">
        <f t="shared" si="4"/>
        <v>655365</v>
      </c>
      <c r="E16" s="30">
        <f t="shared" si="4"/>
        <v>656265</v>
      </c>
      <c r="F16" s="30">
        <f t="shared" si="4"/>
        <v>657165</v>
      </c>
      <c r="G16" s="30">
        <f t="shared" si="4"/>
        <v>658065</v>
      </c>
      <c r="H16" s="30">
        <f t="shared" si="4"/>
        <v>590965</v>
      </c>
      <c r="I16" s="30">
        <f t="shared" si="4"/>
        <v>638965</v>
      </c>
      <c r="J16" s="30">
        <f t="shared" si="4"/>
        <v>681965</v>
      </c>
      <c r="K16" s="30">
        <f t="shared" si="4"/>
        <v>724965</v>
      </c>
      <c r="L16" s="30">
        <f t="shared" si="4"/>
        <v>884965</v>
      </c>
      <c r="M16" s="73">
        <f t="shared" si="4"/>
        <v>1044965</v>
      </c>
      <c r="N16" s="131"/>
    </row>
    <row r="17" spans="1:14" ht="6.75" customHeight="1" x14ac:dyDescent="0.15">
      <c r="A17" s="90"/>
      <c r="B17" s="90"/>
      <c r="C17" s="90"/>
      <c r="D17" s="90"/>
      <c r="E17" s="90"/>
      <c r="F17" s="90"/>
      <c r="G17" s="90"/>
      <c r="H17" s="129"/>
      <c r="I17" s="129"/>
      <c r="J17" s="129"/>
      <c r="K17" s="129"/>
      <c r="L17" s="129"/>
      <c r="M17" s="129"/>
      <c r="N17" s="129"/>
    </row>
    <row r="18" spans="1:14" s="3" customFormat="1" x14ac:dyDescent="0.15">
      <c r="A18" s="91"/>
      <c r="B18" s="90"/>
      <c r="C18" s="90"/>
      <c r="D18" s="90"/>
      <c r="E18" s="90"/>
      <c r="F18" s="90"/>
      <c r="G18" s="90"/>
      <c r="H18" s="92"/>
      <c r="I18" s="92"/>
      <c r="J18" s="92"/>
      <c r="K18" s="92"/>
      <c r="L18" s="92"/>
      <c r="M18" s="92"/>
      <c r="N18" s="92"/>
    </row>
    <row r="19" spans="1:14" s="3" customFormat="1" x14ac:dyDescent="0.15">
      <c r="A19" s="91"/>
      <c r="B19" s="90"/>
      <c r="C19" s="90"/>
      <c r="D19" s="90"/>
      <c r="E19" s="90"/>
      <c r="F19" s="90"/>
      <c r="G19" s="90"/>
      <c r="H19" s="92"/>
      <c r="I19" s="92"/>
      <c r="J19" s="92"/>
      <c r="K19" s="92"/>
      <c r="L19" s="92"/>
      <c r="M19" s="92"/>
      <c r="N19" s="92"/>
    </row>
    <row r="20" spans="1:14" s="4" customFormat="1" x14ac:dyDescent="0.15">
      <c r="A20" s="90"/>
      <c r="B20" s="93"/>
      <c r="C20" s="93"/>
      <c r="D20" s="93"/>
      <c r="E20" s="93"/>
      <c r="F20" s="93"/>
      <c r="G20" s="93"/>
      <c r="H20" s="90"/>
      <c r="I20" s="90"/>
      <c r="J20" s="90"/>
      <c r="K20" s="90"/>
      <c r="L20" s="90"/>
      <c r="M20" s="90"/>
      <c r="N20" s="90"/>
    </row>
    <row r="21" spans="1:14" s="4" customFormat="1" x14ac:dyDescent="0.15">
      <c r="A21" s="90"/>
      <c r="B21" s="94"/>
      <c r="C21" s="94"/>
      <c r="D21" s="94"/>
      <c r="E21" s="94"/>
      <c r="F21" s="94"/>
      <c r="G21" s="94"/>
      <c r="H21" s="90"/>
      <c r="I21" s="90"/>
      <c r="J21" s="90"/>
      <c r="K21" s="90"/>
      <c r="L21" s="90"/>
      <c r="M21" s="90"/>
      <c r="N21" s="90"/>
    </row>
  </sheetData>
  <sheetProtection insertColumns="0" insertRows="0" selectLockedCells="1"/>
  <phoneticPr fontId="2" type="noConversion"/>
  <conditionalFormatting sqref="B4">
    <cfRule type="containsBlanks" dxfId="16" priority="6">
      <formula>LEN(TRIM(B4))=0</formula>
    </cfRule>
  </conditionalFormatting>
  <conditionalFormatting sqref="B10:M10 B12:M12">
    <cfRule type="containsBlanks" dxfId="15" priority="5">
      <formula>LEN(TRIM(B10))=0</formula>
    </cfRule>
  </conditionalFormatting>
  <conditionalFormatting sqref="B11:N11">
    <cfRule type="containsBlanks" dxfId="14" priority="1">
      <formula>LEN(TRIM(B11))=0</formula>
    </cfRule>
  </conditionalFormatting>
  <dataValidations xWindow="266" yWindow="436" count="1">
    <dataValidation allowBlank="1" showInputMessage="1" showErrorMessage="1" sqref="B4:B16 C15:M16 C4:C6 D6:M6 C7:E7 C14:E14 C8:M10 C12:M13 C11:N11" xr:uid="{00000000-0002-0000-0300-000000000000}"/>
  </dataValidations>
  <pageMargins left="0.75" right="0.75" top="1" bottom="1" header="0.5" footer="0.5"/>
  <pageSetup paperSize="9" scale="46" orientation="portrait" r:id="rId1"/>
  <headerFooter alignWithMargins="0">
    <oddHeader>&amp;L&amp;"System Font,Regular"&amp;K000000Practice Venture Worksheet&amp;RCASH FLOW FORECAST</oddHeader>
    <oddFooter>&amp;L© 2018 Wadhwani Foundation</oddFooter>
  </headerFooter>
  <ignoredErrors>
    <ignoredError sqref="C8:M8 C9:M9 B6:M6 B8:B9"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1"/>
  <sheetViews>
    <sheetView zoomScale="163" zoomScaleNormal="163" zoomScalePageLayoutView="169" workbookViewId="0">
      <selection activeCell="D5" sqref="D5"/>
    </sheetView>
  </sheetViews>
  <sheetFormatPr baseColWidth="10" defaultColWidth="11.5" defaultRowHeight="11" x14ac:dyDescent="0.15"/>
  <cols>
    <col min="1" max="1" width="46.1640625" style="10" customWidth="1"/>
    <col min="2" max="2" width="25.83203125" style="11" customWidth="1"/>
    <col min="3" max="16384" width="11.5" style="10"/>
  </cols>
  <sheetData>
    <row r="1" spans="1:3" ht="16" x14ac:dyDescent="0.15">
      <c r="A1" s="55" t="s">
        <v>58</v>
      </c>
      <c r="B1" s="78"/>
      <c r="C1" s="129"/>
    </row>
    <row r="2" spans="1:3" ht="16.5" customHeight="1" x14ac:dyDescent="0.15">
      <c r="A2" s="83" t="s">
        <v>59</v>
      </c>
      <c r="B2" s="34"/>
      <c r="C2" s="129"/>
    </row>
    <row r="3" spans="1:3" ht="24" customHeight="1" x14ac:dyDescent="0.15">
      <c r="A3" s="75" t="s">
        <v>60</v>
      </c>
      <c r="B3" s="154"/>
      <c r="C3" s="129"/>
    </row>
    <row r="4" spans="1:3" x14ac:dyDescent="0.15">
      <c r="A4" s="155" t="s">
        <v>61</v>
      </c>
      <c r="B4" s="156"/>
      <c r="C4" s="129"/>
    </row>
    <row r="5" spans="1:3" ht="12" x14ac:dyDescent="0.15">
      <c r="A5" s="26" t="s">
        <v>62</v>
      </c>
      <c r="B5" s="25">
        <f>'3. Cash Flow'!M16</f>
        <v>1044965</v>
      </c>
      <c r="C5" s="129"/>
    </row>
    <row r="6" spans="1:3" ht="12" x14ac:dyDescent="0.15">
      <c r="A6" s="26" t="s">
        <v>63</v>
      </c>
      <c r="B6" s="25"/>
      <c r="C6" s="129"/>
    </row>
    <row r="7" spans="1:3" ht="12" x14ac:dyDescent="0.15">
      <c r="A7" s="26" t="s">
        <v>64</v>
      </c>
      <c r="B7" s="25"/>
      <c r="C7" s="129"/>
    </row>
    <row r="8" spans="1:3" ht="12" x14ac:dyDescent="0.15">
      <c r="A8" s="26" t="s">
        <v>65</v>
      </c>
      <c r="B8" s="25">
        <v>20000</v>
      </c>
      <c r="C8" s="129"/>
    </row>
    <row r="9" spans="1:3" ht="12" x14ac:dyDescent="0.15">
      <c r="A9" s="26" t="s">
        <v>66</v>
      </c>
      <c r="B9" s="25"/>
      <c r="C9" s="129"/>
    </row>
    <row r="10" spans="1:3" x14ac:dyDescent="0.15">
      <c r="A10" s="155" t="s">
        <v>67</v>
      </c>
      <c r="B10" s="157"/>
      <c r="C10" s="129"/>
    </row>
    <row r="11" spans="1:3" ht="12" x14ac:dyDescent="0.15">
      <c r="A11" s="26" t="s">
        <v>68</v>
      </c>
      <c r="B11" s="25">
        <v>50000</v>
      </c>
      <c r="C11" s="129"/>
    </row>
    <row r="12" spans="1:3" ht="12" x14ac:dyDescent="0.15">
      <c r="A12" s="26" t="s">
        <v>69</v>
      </c>
      <c r="B12" s="25"/>
      <c r="C12" s="129"/>
    </row>
    <row r="13" spans="1:3" ht="12" x14ac:dyDescent="0.15">
      <c r="A13" s="26" t="s">
        <v>70</v>
      </c>
      <c r="B13" s="25"/>
      <c r="C13" s="129"/>
    </row>
    <row r="14" spans="1:3" x14ac:dyDescent="0.15">
      <c r="A14" s="89" t="s">
        <v>71</v>
      </c>
      <c r="B14" s="158">
        <f>SUM(B5:B13)</f>
        <v>1114965</v>
      </c>
      <c r="C14" s="129"/>
    </row>
    <row r="15" spans="1:3" ht="24" customHeight="1" x14ac:dyDescent="0.15">
      <c r="A15" s="75" t="s">
        <v>72</v>
      </c>
      <c r="B15" s="159"/>
      <c r="C15" s="129"/>
    </row>
    <row r="16" spans="1:3" x14ac:dyDescent="0.15">
      <c r="A16" s="160" t="s">
        <v>73</v>
      </c>
      <c r="B16" s="158"/>
      <c r="C16" s="129"/>
    </row>
    <row r="17" spans="1:3" ht="12" x14ac:dyDescent="0.15">
      <c r="A17" s="26" t="s">
        <v>74</v>
      </c>
      <c r="B17" s="25"/>
      <c r="C17" s="129"/>
    </row>
    <row r="18" spans="1:3" ht="12" x14ac:dyDescent="0.15">
      <c r="A18" s="26" t="s">
        <v>75</v>
      </c>
      <c r="B18" s="25"/>
      <c r="C18" s="129"/>
    </row>
    <row r="19" spans="1:3" ht="12" x14ac:dyDescent="0.15">
      <c r="A19" s="26" t="s">
        <v>76</v>
      </c>
      <c r="B19" s="25"/>
      <c r="C19" s="129"/>
    </row>
    <row r="20" spans="1:3" x14ac:dyDescent="0.15">
      <c r="A20" s="161" t="s">
        <v>77</v>
      </c>
      <c r="B20" s="162"/>
      <c r="C20" s="129"/>
    </row>
    <row r="21" spans="1:3" ht="12" x14ac:dyDescent="0.15">
      <c r="A21" s="27" t="s">
        <v>78</v>
      </c>
      <c r="B21" s="25">
        <f>'1. Startup Costs'!B19-'3. Cash Flow'!L12-'3. Cash Flow'!M12</f>
        <v>300000</v>
      </c>
      <c r="C21" s="129"/>
    </row>
    <row r="22" spans="1:3" ht="12" x14ac:dyDescent="0.15">
      <c r="A22" s="27" t="s">
        <v>79</v>
      </c>
      <c r="B22" s="25"/>
      <c r="C22" s="129"/>
    </row>
    <row r="23" spans="1:3" x14ac:dyDescent="0.15">
      <c r="A23" s="12" t="s">
        <v>80</v>
      </c>
      <c r="B23" s="158">
        <f>SUM(B16:B22)</f>
        <v>300000</v>
      </c>
      <c r="C23" s="129"/>
    </row>
    <row r="24" spans="1:3" x14ac:dyDescent="0.15">
      <c r="A24" s="12" t="s">
        <v>81</v>
      </c>
      <c r="B24" s="158">
        <f>B14-B23</f>
        <v>814965</v>
      </c>
      <c r="C24" s="129"/>
    </row>
    <row r="25" spans="1:3" ht="24" customHeight="1" x14ac:dyDescent="0.15">
      <c r="A25" s="81" t="s">
        <v>82</v>
      </c>
      <c r="B25" s="82"/>
      <c r="C25" s="129"/>
    </row>
    <row r="26" spans="1:3" ht="12" x14ac:dyDescent="0.15">
      <c r="A26" s="27" t="s">
        <v>83</v>
      </c>
      <c r="B26" s="25">
        <f>'2. Forecast P&amp;L'!N26</f>
        <v>444965</v>
      </c>
      <c r="C26" s="129"/>
    </row>
    <row r="27" spans="1:3" x14ac:dyDescent="0.15">
      <c r="A27" s="27" t="s">
        <v>84</v>
      </c>
      <c r="B27" s="158">
        <f>'1. Startup Costs'!B18</f>
        <v>300000</v>
      </c>
      <c r="C27" s="129"/>
    </row>
    <row r="28" spans="1:3" x14ac:dyDescent="0.15">
      <c r="A28" s="96" t="s">
        <v>85</v>
      </c>
      <c r="B28" s="158">
        <f>SUM(B26:B27)</f>
        <v>744965</v>
      </c>
      <c r="C28" s="129"/>
    </row>
    <row r="29" spans="1:3" x14ac:dyDescent="0.15">
      <c r="A29" s="129"/>
      <c r="B29" s="159"/>
      <c r="C29" s="129"/>
    </row>
    <row r="30" spans="1:3" x14ac:dyDescent="0.15">
      <c r="A30" s="129"/>
      <c r="B30" s="159"/>
      <c r="C30" s="129"/>
    </row>
    <row r="31" spans="1:3" x14ac:dyDescent="0.15">
      <c r="A31" s="129"/>
      <c r="B31" s="159"/>
      <c r="C31" s="129"/>
    </row>
  </sheetData>
  <phoneticPr fontId="15" type="noConversion"/>
  <conditionalFormatting sqref="B5:B9">
    <cfRule type="containsBlanks" dxfId="13" priority="18" stopIfTrue="1">
      <formula>LEN(TRIM(B5))=0</formula>
    </cfRule>
  </conditionalFormatting>
  <conditionalFormatting sqref="B11:B13">
    <cfRule type="containsBlanks" dxfId="12" priority="10" stopIfTrue="1">
      <formula>LEN(TRIM(B11))=0</formula>
    </cfRule>
  </conditionalFormatting>
  <conditionalFormatting sqref="B17:B19">
    <cfRule type="containsBlanks" dxfId="11" priority="4" stopIfTrue="1">
      <formula>LEN(TRIM(B17))=0</formula>
    </cfRule>
  </conditionalFormatting>
  <conditionalFormatting sqref="B21:B22">
    <cfRule type="containsBlanks" dxfId="10" priority="1" stopIfTrue="1">
      <formula>LEN(TRIM(B21))=0</formula>
    </cfRule>
  </conditionalFormatting>
  <conditionalFormatting sqref="B26">
    <cfRule type="containsBlanks" dxfId="9" priority="2" stopIfTrue="1">
      <formula>LEN(TRIM(B26))=0</formula>
    </cfRule>
  </conditionalFormatting>
  <pageMargins left="0.75" right="0.75" top="1" bottom="1" header="0.5" footer="0.5"/>
  <pageSetup paperSize="9" orientation="portrait" r:id="rId1"/>
  <headerFooter alignWithMargins="0">
    <oddHeader>&amp;L&amp;"System Font,Regular"&amp;K000000Practice Venture Worksheet&amp;RBALANCE SHEET</oddHeader>
    <oddFooter>&amp;L© 2018 Wadhwani Foundation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0"/>
  <sheetViews>
    <sheetView showWhiteSpace="0" view="pageLayout" topLeftCell="A4" zoomScale="184" zoomScaleNormal="196" zoomScalePageLayoutView="184" workbookViewId="0">
      <selection activeCell="D20" sqref="D20"/>
    </sheetView>
  </sheetViews>
  <sheetFormatPr baseColWidth="10" defaultColWidth="11.5" defaultRowHeight="11" x14ac:dyDescent="0.15"/>
  <cols>
    <col min="1" max="1" width="32.83203125" style="10" customWidth="1"/>
    <col min="2" max="2" width="20.6640625" style="11" customWidth="1"/>
    <col min="3" max="3" width="3.33203125" style="10" customWidth="1"/>
    <col min="4" max="16384" width="11.5" style="10"/>
  </cols>
  <sheetData>
    <row r="1" spans="1:8" ht="16" x14ac:dyDescent="0.15">
      <c r="A1" s="55" t="s">
        <v>86</v>
      </c>
      <c r="B1" s="78"/>
      <c r="C1" s="129"/>
      <c r="D1" s="129"/>
      <c r="E1" s="129"/>
      <c r="F1" s="129"/>
      <c r="G1" s="129"/>
      <c r="H1" s="129"/>
    </row>
    <row r="2" spans="1:8" ht="12" x14ac:dyDescent="0.15">
      <c r="A2" s="39" t="s">
        <v>87</v>
      </c>
      <c r="B2" s="25">
        <v>9900</v>
      </c>
      <c r="C2" s="128"/>
      <c r="D2" s="129"/>
      <c r="E2" s="129"/>
      <c r="F2" s="129"/>
      <c r="G2" s="129"/>
      <c r="H2" s="129"/>
    </row>
    <row r="3" spans="1:8" ht="12" x14ac:dyDescent="0.15">
      <c r="A3" s="99" t="s">
        <v>88</v>
      </c>
      <c r="B3" s="25">
        <v>2120</v>
      </c>
      <c r="C3" s="128"/>
      <c r="D3" s="129"/>
      <c r="E3" s="129"/>
      <c r="F3" s="129"/>
      <c r="G3" s="129"/>
      <c r="H3" s="129"/>
    </row>
    <row r="4" spans="1:8" x14ac:dyDescent="0.15">
      <c r="A4" s="38" t="s">
        <v>45</v>
      </c>
      <c r="B4" s="163">
        <f>IF(ISERROR((B2-B3)/B2)," ",(B2-B3)/B2)</f>
        <v>0.78585858585858581</v>
      </c>
      <c r="C4" s="128"/>
      <c r="D4" s="129"/>
      <c r="E4" s="129"/>
      <c r="F4" s="129"/>
      <c r="G4" s="129"/>
      <c r="H4" s="129"/>
    </row>
    <row r="5" spans="1:8" x14ac:dyDescent="0.15">
      <c r="A5" s="38" t="s">
        <v>89</v>
      </c>
      <c r="B5" s="164">
        <f>'2. Forecast P&amp;L'!N24</f>
        <v>2682000</v>
      </c>
      <c r="C5" s="128"/>
      <c r="D5" s="129"/>
      <c r="E5" s="129"/>
      <c r="F5" s="129"/>
      <c r="G5" s="129"/>
      <c r="H5" s="129"/>
    </row>
    <row r="6" spans="1:8" x14ac:dyDescent="0.15">
      <c r="A6" s="38" t="s">
        <v>90</v>
      </c>
      <c r="B6" s="165">
        <f>IF(ISERROR(B5/B4), " ",B5/B4)</f>
        <v>3412827.7634961442</v>
      </c>
      <c r="C6" s="128"/>
      <c r="D6" s="129"/>
      <c r="E6" s="129"/>
      <c r="F6" s="129"/>
      <c r="G6" s="129"/>
      <c r="H6" s="129"/>
    </row>
    <row r="7" spans="1:8" x14ac:dyDescent="0.15">
      <c r="A7" s="38" t="s">
        <v>91</v>
      </c>
      <c r="B7" s="166">
        <f>IF(ISERROR(B6/B2)," ",B6/B2)</f>
        <v>344.73007712082267</v>
      </c>
      <c r="C7" s="128"/>
      <c r="D7" s="129"/>
      <c r="E7" s="129"/>
      <c r="F7" s="129"/>
      <c r="G7" s="129"/>
      <c r="H7" s="129"/>
    </row>
    <row r="8" spans="1:8" x14ac:dyDescent="0.15">
      <c r="A8" s="128"/>
      <c r="B8" s="167"/>
      <c r="C8" s="128"/>
      <c r="D8" s="129"/>
      <c r="E8" s="129"/>
      <c r="F8" s="129"/>
      <c r="G8" s="129"/>
      <c r="H8" s="129"/>
    </row>
    <row r="9" spans="1:8" ht="12" x14ac:dyDescent="0.15">
      <c r="A9" s="16"/>
      <c r="B9" s="17"/>
      <c r="C9" s="128"/>
      <c r="D9" s="129"/>
      <c r="E9" s="129"/>
      <c r="F9" s="129"/>
      <c r="G9" s="129"/>
      <c r="H9" s="129"/>
    </row>
    <row r="10" spans="1:8" ht="13" thickBot="1" x14ac:dyDescent="0.2">
      <c r="A10" s="178" t="s">
        <v>92</v>
      </c>
      <c r="B10" s="178"/>
      <c r="C10" s="128"/>
      <c r="D10" s="129"/>
      <c r="E10" s="129"/>
      <c r="F10" s="129"/>
      <c r="G10" s="129"/>
      <c r="H10" s="129"/>
    </row>
    <row r="11" spans="1:8" ht="13" thickTop="1" x14ac:dyDescent="0.15">
      <c r="A11" s="39" t="s">
        <v>93</v>
      </c>
      <c r="B11" s="36">
        <f>'2. Forecast P&amp;L'!N15</f>
        <v>3126965</v>
      </c>
      <c r="C11" s="128"/>
      <c r="D11" s="129"/>
      <c r="E11" s="129"/>
      <c r="F11" s="129"/>
      <c r="G11" s="129"/>
      <c r="H11" s="129"/>
    </row>
    <row r="12" spans="1:8" ht="12" x14ac:dyDescent="0.15">
      <c r="A12" s="39" t="s">
        <v>32</v>
      </c>
      <c r="B12" s="37">
        <f>'2. Forecast P&amp;L'!N10</f>
        <v>13846965</v>
      </c>
      <c r="C12" s="128"/>
      <c r="D12" s="129"/>
      <c r="E12" s="129"/>
      <c r="F12" s="129"/>
      <c r="G12" s="129"/>
      <c r="H12" s="129"/>
    </row>
    <row r="13" spans="1:8" ht="12" x14ac:dyDescent="0.15">
      <c r="A13" s="18" t="s">
        <v>94</v>
      </c>
      <c r="B13" s="35">
        <f>IF(B12&gt;0, B11/B12, 0)</f>
        <v>0.22582313163931592</v>
      </c>
      <c r="C13" s="128"/>
      <c r="D13" s="129"/>
      <c r="E13" s="129"/>
      <c r="F13" s="129"/>
      <c r="G13" s="129"/>
      <c r="H13" s="129"/>
    </row>
    <row r="14" spans="1:8" ht="13" thickBot="1" x14ac:dyDescent="0.2">
      <c r="A14" s="178" t="s">
        <v>95</v>
      </c>
      <c r="B14" s="178"/>
      <c r="C14" s="128"/>
      <c r="D14" s="129"/>
      <c r="E14" s="129"/>
      <c r="F14" s="129"/>
      <c r="G14" s="129"/>
      <c r="H14" s="129"/>
    </row>
    <row r="15" spans="1:8" ht="13" thickTop="1" x14ac:dyDescent="0.15">
      <c r="A15" s="19" t="s">
        <v>38</v>
      </c>
      <c r="B15" s="36">
        <f>'2. Forecast P&amp;L'!N24</f>
        <v>2682000</v>
      </c>
      <c r="C15" s="128"/>
      <c r="D15" s="129"/>
      <c r="E15" s="129"/>
      <c r="F15" s="129"/>
      <c r="G15" s="129"/>
      <c r="H15" s="129"/>
    </row>
    <row r="16" spans="1:8" ht="13" thickBot="1" x14ac:dyDescent="0.2">
      <c r="A16" s="178" t="s">
        <v>96</v>
      </c>
      <c r="B16" s="178"/>
      <c r="C16" s="128"/>
      <c r="D16" s="129"/>
      <c r="E16" s="129"/>
      <c r="F16" s="129"/>
      <c r="G16" s="129"/>
      <c r="H16" s="129"/>
    </row>
    <row r="17" spans="1:8" ht="13" thickTop="1" x14ac:dyDescent="0.15">
      <c r="A17" s="39" t="s">
        <v>97</v>
      </c>
      <c r="B17" s="20">
        <f>B13</f>
        <v>0.22582313163931592</v>
      </c>
      <c r="C17" s="128"/>
      <c r="D17" s="129"/>
      <c r="E17" s="129"/>
      <c r="F17" s="129"/>
      <c r="G17" s="129"/>
      <c r="H17" s="129"/>
    </row>
    <row r="18" spans="1:8" ht="12" x14ac:dyDescent="0.15">
      <c r="A18" s="39" t="s">
        <v>95</v>
      </c>
      <c r="B18" s="36">
        <f>'2. Forecast P&amp;L'!N24</f>
        <v>2682000</v>
      </c>
      <c r="C18" s="128"/>
      <c r="D18" s="128"/>
      <c r="E18" s="128"/>
      <c r="F18" s="128"/>
      <c r="G18" s="128"/>
      <c r="H18" s="128"/>
    </row>
    <row r="19" spans="1:8" ht="12" x14ac:dyDescent="0.15">
      <c r="A19" s="18" t="s">
        <v>98</v>
      </c>
      <c r="B19" s="36">
        <f>IF(B13=0,0,B15/ B13)</f>
        <v>11876551.266163835</v>
      </c>
      <c r="C19" s="128"/>
      <c r="D19" s="128"/>
      <c r="E19" s="128"/>
      <c r="F19" s="128"/>
      <c r="G19" s="128"/>
      <c r="H19" s="128"/>
    </row>
    <row r="20" spans="1:8" ht="13" x14ac:dyDescent="0.15">
      <c r="A20" s="21" t="s">
        <v>99</v>
      </c>
      <c r="B20" s="36">
        <f>B19/12</f>
        <v>989712.6055136529</v>
      </c>
      <c r="C20" s="128"/>
      <c r="D20" s="128"/>
      <c r="E20" s="128"/>
      <c r="F20" s="128"/>
      <c r="G20" s="128"/>
      <c r="H20" s="128"/>
    </row>
  </sheetData>
  <mergeCells count="3">
    <mergeCell ref="A10:B10"/>
    <mergeCell ref="A14:B14"/>
    <mergeCell ref="A16:B16"/>
  </mergeCells>
  <phoneticPr fontId="15" type="noConversion"/>
  <conditionalFormatting sqref="B2:B3">
    <cfRule type="containsBlanks" dxfId="8" priority="1" stopIfTrue="1">
      <formula>LEN(TRIM(B2))=0</formula>
    </cfRule>
  </conditionalFormatting>
  <dataValidations count="1">
    <dataValidation allowBlank="1" showInputMessage="1" showErrorMessage="1" promptTitle="Average Cost per Unit" prompt="Average is" sqref="A3" xr:uid="{00000000-0002-0000-0500-000000000000}"/>
  </dataValidations>
  <pageMargins left="0.75" right="0.75" top="1" bottom="1" header="0.5" footer="0.5"/>
  <pageSetup paperSize="9" scale="77" orientation="portrait" r:id="rId1"/>
  <headerFooter alignWithMargins="0">
    <oddHeader>&amp;L&amp;"System Font,Regular"&amp;K000000Practice Venture Worksheet&amp;RBREAKEVEN ANALYSIS</oddHeader>
    <oddFooter>&amp;L© 2018 Wadhwani Foundation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C15"/>
  <sheetViews>
    <sheetView view="pageLayout" zoomScale="200" zoomScaleNormal="175" zoomScalePageLayoutView="200" workbookViewId="0">
      <selection activeCell="A9" sqref="A9"/>
    </sheetView>
  </sheetViews>
  <sheetFormatPr baseColWidth="10" defaultColWidth="11.5" defaultRowHeight="13" x14ac:dyDescent="0.15"/>
  <cols>
    <col min="1" max="1" width="54.83203125" customWidth="1"/>
    <col min="2" max="2" width="23.5" customWidth="1"/>
  </cols>
  <sheetData>
    <row r="1" spans="1:3" x14ac:dyDescent="0.15">
      <c r="A1" s="179" t="s">
        <v>100</v>
      </c>
      <c r="B1" s="179"/>
      <c r="C1" s="22"/>
    </row>
    <row r="2" spans="1:3" x14ac:dyDescent="0.15">
      <c r="A2" s="88" t="s">
        <v>101</v>
      </c>
      <c r="B2" s="84" t="s">
        <v>102</v>
      </c>
      <c r="C2" s="22"/>
    </row>
    <row r="3" spans="1:3" x14ac:dyDescent="0.15">
      <c r="A3" s="88" t="s">
        <v>103</v>
      </c>
      <c r="B3" s="85" t="s">
        <v>104</v>
      </c>
      <c r="C3" s="22"/>
    </row>
    <row r="4" spans="1:3" x14ac:dyDescent="0.15">
      <c r="A4" s="168" t="s">
        <v>116</v>
      </c>
      <c r="B4" s="25">
        <v>60000</v>
      </c>
      <c r="C4" s="22"/>
    </row>
    <row r="5" spans="1:3" x14ac:dyDescent="0.15">
      <c r="A5" s="99" t="s">
        <v>117</v>
      </c>
      <c r="B5" s="25">
        <v>17000</v>
      </c>
      <c r="C5" s="22"/>
    </row>
    <row r="6" spans="1:3" x14ac:dyDescent="0.15">
      <c r="A6" s="99" t="s">
        <v>118</v>
      </c>
      <c r="B6" s="25">
        <v>40000</v>
      </c>
      <c r="C6" s="22"/>
    </row>
    <row r="7" spans="1:3" x14ac:dyDescent="0.15">
      <c r="A7" s="99" t="s">
        <v>120</v>
      </c>
      <c r="B7" s="25">
        <v>1000</v>
      </c>
      <c r="C7" s="22"/>
    </row>
    <row r="8" spans="1:3" x14ac:dyDescent="0.15">
      <c r="A8" s="99" t="s">
        <v>122</v>
      </c>
      <c r="B8" s="25">
        <v>3000</v>
      </c>
      <c r="C8" s="22"/>
    </row>
    <row r="9" spans="1:3" x14ac:dyDescent="0.15">
      <c r="A9" s="99" t="s">
        <v>123</v>
      </c>
      <c r="B9" s="25">
        <v>7000</v>
      </c>
      <c r="C9" s="22"/>
    </row>
    <row r="10" spans="1:3" x14ac:dyDescent="0.15">
      <c r="A10" s="99" t="s">
        <v>121</v>
      </c>
      <c r="B10" s="25">
        <v>7000</v>
      </c>
      <c r="C10" s="22"/>
    </row>
    <row r="11" spans="1:3" x14ac:dyDescent="0.15">
      <c r="A11" s="99" t="s">
        <v>119</v>
      </c>
      <c r="B11" s="25">
        <v>5000</v>
      </c>
      <c r="C11" s="22"/>
    </row>
    <row r="12" spans="1:3" x14ac:dyDescent="0.15">
      <c r="A12" s="99" t="s">
        <v>105</v>
      </c>
      <c r="B12" s="40">
        <f>SUM(B4:B11)</f>
        <v>140000</v>
      </c>
      <c r="C12" s="22"/>
    </row>
    <row r="13" spans="1:3" x14ac:dyDescent="0.15">
      <c r="A13" s="169" t="s">
        <v>106</v>
      </c>
      <c r="B13" s="25"/>
      <c r="C13" s="22"/>
    </row>
    <row r="14" spans="1:3" x14ac:dyDescent="0.15">
      <c r="A14" s="87" t="s">
        <v>107</v>
      </c>
      <c r="B14" s="86">
        <v>7000</v>
      </c>
      <c r="C14" s="22"/>
    </row>
    <row r="15" spans="1:3" x14ac:dyDescent="0.15">
      <c r="A15" s="23"/>
      <c r="B15" s="24"/>
      <c r="C15" s="22"/>
    </row>
  </sheetData>
  <mergeCells count="1">
    <mergeCell ref="A1:B1"/>
  </mergeCells>
  <phoneticPr fontId="2" type="noConversion"/>
  <conditionalFormatting sqref="B4:B11 B13">
    <cfRule type="containsBlanks" dxfId="7" priority="3" stopIfTrue="1">
      <formula>LEN(TRIM(B4))=0</formula>
    </cfRule>
  </conditionalFormatting>
  <pageMargins left="0.75" right="0.75" top="1" bottom="1" header="0.5" footer="0.5"/>
  <pageSetup paperSize="9" orientation="portrait" horizontalDpi="300" verticalDpi="300" r:id="rId1"/>
  <headerFooter alignWithMargins="0">
    <oddHeader>&amp;L&amp;"System Font,Regular"&amp;K000000Practice Venture Worksheet&amp;RCOGS CALCULATOR</oddHeader>
    <oddFooter>&amp;L© 2018 Wadhwani Foundation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22"/>
  <sheetViews>
    <sheetView tabSelected="1" view="pageLayout" zoomScale="219" zoomScaleNormal="129" zoomScalePageLayoutView="219" workbookViewId="0">
      <selection activeCell="C4" sqref="C4"/>
    </sheetView>
  </sheetViews>
  <sheetFormatPr baseColWidth="10" defaultColWidth="11.5" defaultRowHeight="11" x14ac:dyDescent="0.15"/>
  <cols>
    <col min="1" max="1" width="23.5" style="2" customWidth="1"/>
    <col min="2" max="2" width="17.33203125" style="2" customWidth="1"/>
    <col min="3" max="13" width="12.6640625" style="2" customWidth="1"/>
    <col min="14" max="16384" width="11.5" style="2"/>
  </cols>
  <sheetData>
    <row r="1" spans="1:13" ht="33.75" customHeight="1" x14ac:dyDescent="0.15">
      <c r="A1" s="55" t="s">
        <v>108</v>
      </c>
      <c r="B1" s="129"/>
      <c r="C1" s="129"/>
      <c r="D1" s="129"/>
      <c r="E1" s="129"/>
      <c r="F1" s="129"/>
      <c r="G1" s="129"/>
      <c r="H1" s="129"/>
      <c r="I1" s="129"/>
      <c r="J1" s="129"/>
      <c r="K1" s="129"/>
      <c r="L1" s="129"/>
      <c r="M1" s="129"/>
    </row>
    <row r="2" spans="1:13" ht="21.75" customHeight="1" x14ac:dyDescent="0.15">
      <c r="A2" s="122"/>
      <c r="B2" s="122"/>
      <c r="C2" s="122"/>
      <c r="D2" s="9"/>
      <c r="E2" s="130"/>
      <c r="F2" s="122"/>
      <c r="G2" s="122"/>
      <c r="H2" s="122"/>
      <c r="I2" s="122"/>
      <c r="J2" s="122"/>
      <c r="K2" s="122"/>
      <c r="L2" s="122"/>
      <c r="M2" s="122"/>
    </row>
    <row r="3" spans="1:13" s="8" customFormat="1" ht="13" x14ac:dyDescent="0.15">
      <c r="A3" s="58"/>
      <c r="B3" s="69">
        <f>Instructions!D18</f>
        <v>0</v>
      </c>
      <c r="C3" s="33">
        <f>DATE(YEAR(B3),MONTH(B3)+1,DAY(B3))</f>
        <v>31</v>
      </c>
      <c r="D3" s="33">
        <f t="shared" ref="C3:M3" si="0">DATE(YEAR(C3),MONTH(C3)+1,DAY(C3))</f>
        <v>62</v>
      </c>
      <c r="E3" s="33">
        <f t="shared" si="0"/>
        <v>93</v>
      </c>
      <c r="F3" s="33">
        <f t="shared" si="0"/>
        <v>123</v>
      </c>
      <c r="G3" s="33">
        <f t="shared" si="0"/>
        <v>154</v>
      </c>
      <c r="H3" s="33">
        <f t="shared" si="0"/>
        <v>184</v>
      </c>
      <c r="I3" s="33">
        <f t="shared" si="0"/>
        <v>215</v>
      </c>
      <c r="J3" s="33">
        <f t="shared" si="0"/>
        <v>246</v>
      </c>
      <c r="K3" s="33">
        <f t="shared" si="0"/>
        <v>276</v>
      </c>
      <c r="L3" s="33">
        <f t="shared" si="0"/>
        <v>307</v>
      </c>
      <c r="M3" s="33">
        <f t="shared" si="0"/>
        <v>337</v>
      </c>
    </row>
    <row r="4" spans="1:13" ht="24" customHeight="1" x14ac:dyDescent="0.15">
      <c r="A4" s="74" t="s">
        <v>109</v>
      </c>
      <c r="B4" s="131"/>
      <c r="C4" s="131"/>
      <c r="D4" s="132"/>
      <c r="E4" s="132"/>
      <c r="F4" s="132"/>
      <c r="G4" s="132"/>
      <c r="H4" s="132"/>
      <c r="I4" s="132"/>
      <c r="J4" s="132"/>
      <c r="K4" s="132"/>
      <c r="L4" s="132"/>
      <c r="M4" s="133"/>
    </row>
    <row r="5" spans="1:13" ht="15" x14ac:dyDescent="0.2">
      <c r="A5" s="59" t="s">
        <v>124</v>
      </c>
      <c r="B5" s="123">
        <v>0</v>
      </c>
      <c r="C5" s="123">
        <v>0</v>
      </c>
      <c r="D5" s="123">
        <v>0</v>
      </c>
      <c r="E5" s="123">
        <v>10000</v>
      </c>
      <c r="F5" s="123">
        <v>10000</v>
      </c>
      <c r="G5" s="123">
        <v>10000</v>
      </c>
      <c r="H5" s="123">
        <v>10000</v>
      </c>
      <c r="I5" s="123">
        <v>10000</v>
      </c>
      <c r="J5" s="123">
        <v>10000</v>
      </c>
      <c r="K5" s="123">
        <v>10000</v>
      </c>
      <c r="L5" s="123">
        <v>10000</v>
      </c>
      <c r="M5" s="123">
        <v>10000</v>
      </c>
    </row>
    <row r="6" spans="1:13" ht="15" x14ac:dyDescent="0.2">
      <c r="A6" s="59" t="s">
        <v>125</v>
      </c>
      <c r="B6" s="97">
        <v>0</v>
      </c>
      <c r="C6" s="123">
        <v>0</v>
      </c>
      <c r="D6" s="123">
        <v>0</v>
      </c>
      <c r="E6" s="123">
        <v>10000</v>
      </c>
      <c r="F6" s="123">
        <v>10000</v>
      </c>
      <c r="G6" s="123">
        <v>10000</v>
      </c>
      <c r="H6" s="123">
        <v>10000</v>
      </c>
      <c r="I6" s="123">
        <v>10000</v>
      </c>
      <c r="J6" s="123">
        <v>10000</v>
      </c>
      <c r="K6" s="123">
        <v>10000</v>
      </c>
      <c r="L6" s="123">
        <v>10000</v>
      </c>
      <c r="M6" s="123">
        <v>10000</v>
      </c>
    </row>
    <row r="7" spans="1:13" ht="15" x14ac:dyDescent="0.2">
      <c r="A7" s="59" t="s">
        <v>126</v>
      </c>
      <c r="B7" s="15">
        <v>0</v>
      </c>
      <c r="C7" s="15">
        <v>0</v>
      </c>
      <c r="D7" s="15">
        <v>0</v>
      </c>
      <c r="E7" s="123">
        <v>10000</v>
      </c>
      <c r="F7" s="123">
        <v>10000</v>
      </c>
      <c r="G7" s="123">
        <v>10000</v>
      </c>
      <c r="H7" s="123">
        <v>10000</v>
      </c>
      <c r="I7" s="97">
        <v>10000</v>
      </c>
      <c r="J7" s="97">
        <v>10000</v>
      </c>
      <c r="K7" s="97">
        <v>10000</v>
      </c>
      <c r="L7" s="97">
        <v>12500</v>
      </c>
      <c r="M7" s="97">
        <v>12500</v>
      </c>
    </row>
    <row r="8" spans="1:13" ht="15" x14ac:dyDescent="0.2">
      <c r="A8" s="59" t="s">
        <v>127</v>
      </c>
      <c r="B8" s="15">
        <v>0</v>
      </c>
      <c r="C8" s="15">
        <v>0</v>
      </c>
      <c r="D8" s="15">
        <v>0</v>
      </c>
      <c r="E8" s="15">
        <v>0</v>
      </c>
      <c r="F8" s="15">
        <v>15000</v>
      </c>
      <c r="G8" s="15">
        <v>15000</v>
      </c>
      <c r="H8" s="15">
        <v>15000</v>
      </c>
      <c r="I8" s="15">
        <v>15000</v>
      </c>
      <c r="J8" s="15">
        <v>15000</v>
      </c>
      <c r="K8" s="15">
        <v>15000</v>
      </c>
      <c r="L8" s="15">
        <v>15000</v>
      </c>
      <c r="M8" s="15">
        <v>15000</v>
      </c>
    </row>
    <row r="9" spans="1:13" ht="15" x14ac:dyDescent="0.2">
      <c r="A9" s="59" t="s">
        <v>128</v>
      </c>
      <c r="B9" s="15">
        <v>0</v>
      </c>
      <c r="C9" s="15">
        <v>0</v>
      </c>
      <c r="D9" s="15">
        <v>0</v>
      </c>
      <c r="E9" s="15">
        <v>0</v>
      </c>
      <c r="F9" s="15">
        <v>12000</v>
      </c>
      <c r="G9" s="15">
        <v>12000</v>
      </c>
      <c r="H9" s="15">
        <v>12000</v>
      </c>
      <c r="I9" s="15">
        <v>12000</v>
      </c>
      <c r="J9" s="15">
        <v>12000</v>
      </c>
      <c r="K9" s="15">
        <v>12000</v>
      </c>
      <c r="L9" s="15">
        <v>12000</v>
      </c>
      <c r="M9" s="15">
        <v>12000</v>
      </c>
    </row>
    <row r="10" spans="1:13" ht="15" x14ac:dyDescent="0.2">
      <c r="A10" s="59" t="s">
        <v>132</v>
      </c>
      <c r="B10" s="15">
        <v>0</v>
      </c>
      <c r="C10" s="15">
        <v>0</v>
      </c>
      <c r="D10" s="15">
        <v>0</v>
      </c>
      <c r="E10" s="15">
        <v>0</v>
      </c>
      <c r="F10" s="45">
        <v>0</v>
      </c>
      <c r="G10" s="123">
        <v>0</v>
      </c>
      <c r="H10" s="123">
        <v>20000</v>
      </c>
      <c r="I10" s="123">
        <v>20000</v>
      </c>
      <c r="J10" s="123">
        <v>20000</v>
      </c>
      <c r="K10" s="123">
        <v>20000</v>
      </c>
      <c r="L10" s="123">
        <v>20000</v>
      </c>
      <c r="M10" s="123">
        <v>20000</v>
      </c>
    </row>
    <row r="11" spans="1:13" ht="15" x14ac:dyDescent="0.2">
      <c r="A11" s="59" t="s">
        <v>131</v>
      </c>
      <c r="B11" s="15">
        <v>0</v>
      </c>
      <c r="C11" s="15">
        <v>0</v>
      </c>
      <c r="D11" s="15">
        <v>0</v>
      </c>
      <c r="E11" s="15">
        <v>0</v>
      </c>
      <c r="F11" s="45">
        <v>12000</v>
      </c>
      <c r="G11" s="45">
        <v>12000</v>
      </c>
      <c r="H11" s="45">
        <v>12000</v>
      </c>
      <c r="I11" s="45">
        <v>12000</v>
      </c>
      <c r="J11" s="45">
        <v>12000</v>
      </c>
      <c r="K11" s="45">
        <v>12000</v>
      </c>
      <c r="L11" s="45">
        <v>12000</v>
      </c>
      <c r="M11" s="45">
        <v>12000</v>
      </c>
    </row>
    <row r="12" spans="1:13" ht="15" x14ac:dyDescent="0.2">
      <c r="A12" s="59" t="s">
        <v>130</v>
      </c>
      <c r="B12" s="15">
        <v>21000</v>
      </c>
      <c r="C12" s="15">
        <v>21000</v>
      </c>
      <c r="D12" s="15">
        <v>21000</v>
      </c>
      <c r="E12" s="15">
        <v>35000</v>
      </c>
      <c r="F12" s="45">
        <v>35000</v>
      </c>
      <c r="G12" s="45">
        <v>35000</v>
      </c>
      <c r="H12" s="45">
        <v>35000</v>
      </c>
      <c r="I12" s="45">
        <v>60000</v>
      </c>
      <c r="J12" s="123">
        <v>60000</v>
      </c>
      <c r="K12" s="123">
        <v>60000</v>
      </c>
      <c r="L12" s="123">
        <v>96000</v>
      </c>
      <c r="M12" s="123">
        <v>96000</v>
      </c>
    </row>
    <row r="13" spans="1:13" ht="15" x14ac:dyDescent="0.2">
      <c r="A13" s="59" t="s">
        <v>129</v>
      </c>
      <c r="B13" s="15">
        <v>0</v>
      </c>
      <c r="C13" s="15">
        <v>0</v>
      </c>
      <c r="D13" s="15">
        <v>0</v>
      </c>
      <c r="E13" s="15">
        <v>0</v>
      </c>
      <c r="F13" s="45">
        <v>0</v>
      </c>
      <c r="G13" s="45">
        <v>0</v>
      </c>
      <c r="H13" s="45">
        <v>15000</v>
      </c>
      <c r="I13" s="45">
        <v>15000</v>
      </c>
      <c r="J13" s="45">
        <v>15000</v>
      </c>
      <c r="K13" s="45">
        <v>15000</v>
      </c>
      <c r="L13" s="45">
        <v>15000</v>
      </c>
      <c r="M13" s="45">
        <v>15000</v>
      </c>
    </row>
    <row r="14" spans="1:13" x14ac:dyDescent="0.15">
      <c r="A14" s="60" t="s">
        <v>110</v>
      </c>
      <c r="B14" s="66">
        <f>SUM(B5:B13)</f>
        <v>21000</v>
      </c>
      <c r="C14" s="66">
        <f>SUM(C5:C13)</f>
        <v>21000</v>
      </c>
      <c r="D14" s="66">
        <f>SUM(D5:D13)</f>
        <v>21000</v>
      </c>
      <c r="E14" s="66">
        <f>SUM(E5:E13)</f>
        <v>65000</v>
      </c>
      <c r="F14" s="180">
        <f>SUM(F5:F13)</f>
        <v>104000</v>
      </c>
      <c r="G14" s="180">
        <f>SUM(G5:G13)</f>
        <v>104000</v>
      </c>
      <c r="H14" s="180">
        <f>SUM(H5:H13)</f>
        <v>139000</v>
      </c>
      <c r="I14" s="180">
        <f>SUM(I5:I13)</f>
        <v>164000</v>
      </c>
      <c r="J14" s="180">
        <f>SUM(J5:J13)</f>
        <v>164000</v>
      </c>
      <c r="K14" s="180">
        <f>SUM(K5:K13)</f>
        <v>164000</v>
      </c>
      <c r="L14" s="180">
        <f>SUM(L5:L13)</f>
        <v>202500</v>
      </c>
      <c r="M14" s="180">
        <f>SUM(M5:M13)</f>
        <v>202500</v>
      </c>
    </row>
    <row r="15" spans="1:13" ht="23.25" customHeight="1" x14ac:dyDescent="0.15">
      <c r="A15" s="61" t="s">
        <v>110</v>
      </c>
      <c r="B15" s="134" t="e">
        <f>(B14+#REF!)</f>
        <v>#REF!</v>
      </c>
      <c r="C15" s="134" t="e">
        <f>(C14+#REF!)</f>
        <v>#REF!</v>
      </c>
      <c r="D15" s="134" t="e">
        <f>(D14+#REF!)</f>
        <v>#REF!</v>
      </c>
      <c r="E15" s="134" t="e">
        <f>(E14+#REF!)</f>
        <v>#REF!</v>
      </c>
      <c r="F15" s="134" t="e">
        <f>(F14+#REF!)</f>
        <v>#REF!</v>
      </c>
      <c r="G15" s="134" t="e">
        <f>(G14+#REF!)</f>
        <v>#REF!</v>
      </c>
      <c r="H15" s="134" t="e">
        <f>(H14+#REF!)</f>
        <v>#REF!</v>
      </c>
      <c r="I15" s="134" t="e">
        <f>(I14+#REF!)</f>
        <v>#REF!</v>
      </c>
      <c r="J15" s="134" t="e">
        <f>(J14+#REF!)</f>
        <v>#REF!</v>
      </c>
      <c r="K15" s="134" t="e">
        <f>(K14+#REF!)</f>
        <v>#REF!</v>
      </c>
      <c r="L15" s="134" t="e">
        <f>(L14+#REF!)</f>
        <v>#REF!</v>
      </c>
      <c r="M15" s="134" t="e">
        <f>(M14+#REF!)</f>
        <v>#REF!</v>
      </c>
    </row>
    <row r="16" spans="1:13" ht="6.75" customHeight="1" x14ac:dyDescent="0.15">
      <c r="A16" s="4"/>
      <c r="B16" s="4"/>
      <c r="C16" s="4"/>
      <c r="D16" s="4"/>
      <c r="E16" s="4"/>
      <c r="F16" s="4"/>
      <c r="G16" s="4"/>
      <c r="H16" s="14"/>
      <c r="I16" s="14"/>
      <c r="J16" s="14"/>
      <c r="K16" s="14"/>
      <c r="L16" s="14"/>
      <c r="M16" s="14"/>
    </row>
    <row r="17" spans="1:11" s="3" customFormat="1" x14ac:dyDescent="0.15">
      <c r="A17" s="5"/>
      <c r="B17" s="4"/>
      <c r="C17" s="4"/>
      <c r="D17" s="4"/>
      <c r="E17" s="4"/>
      <c r="F17" s="4"/>
      <c r="G17" s="4"/>
    </row>
    <row r="18" spans="1:11" s="3" customFormat="1" x14ac:dyDescent="0.15">
      <c r="A18" s="5"/>
      <c r="B18" s="4"/>
      <c r="C18" s="4"/>
      <c r="D18" s="4"/>
      <c r="E18" s="4"/>
      <c r="F18" s="4"/>
      <c r="G18" s="4"/>
    </row>
    <row r="19" spans="1:11" s="4" customFormat="1" x14ac:dyDescent="0.15">
      <c r="B19" s="6"/>
      <c r="C19" s="6"/>
      <c r="D19" s="6"/>
      <c r="E19" s="6"/>
      <c r="F19" s="6"/>
      <c r="G19" s="6"/>
    </row>
    <row r="20" spans="1:11" s="4" customFormat="1" x14ac:dyDescent="0.15">
      <c r="B20" s="7"/>
      <c r="C20" s="7"/>
      <c r="D20" s="7"/>
      <c r="E20" s="7"/>
      <c r="F20" s="7"/>
      <c r="G20" s="7"/>
    </row>
    <row r="22" spans="1:11" x14ac:dyDescent="0.15">
      <c r="B22" s="14"/>
      <c r="C22" s="14"/>
      <c r="D22" s="14"/>
      <c r="E22" s="14"/>
      <c r="F22" s="14"/>
      <c r="G22" s="14"/>
      <c r="H22" s="14"/>
      <c r="I22" s="14"/>
      <c r="J22" s="14"/>
      <c r="K22" s="14" t="s">
        <v>47</v>
      </c>
    </row>
  </sheetData>
  <phoneticPr fontId="2" type="noConversion"/>
  <conditionalFormatting sqref="B5:H7 B8:M9 B10:H10 B11:M11 B12:I12 B13:M13">
    <cfRule type="containsBlanks" dxfId="6" priority="15">
      <formula>LEN(TRIM(B5))=0</formula>
    </cfRule>
  </conditionalFormatting>
  <conditionalFormatting sqref="I7:K7 J12:K12">
    <cfRule type="containsBlanks" dxfId="5" priority="11">
      <formula>LEN(TRIM(I7))=0</formula>
    </cfRule>
  </conditionalFormatting>
  <conditionalFormatting sqref="L7:M7 L12:M12">
    <cfRule type="containsBlanks" dxfId="4" priority="4">
      <formula>LEN(TRIM(L7))=0</formula>
    </cfRule>
  </conditionalFormatting>
  <conditionalFormatting sqref="M5:M6">
    <cfRule type="containsBlanks" dxfId="2" priority="3">
      <formula>LEN(TRIM(M5))=0</formula>
    </cfRule>
  </conditionalFormatting>
  <conditionalFormatting sqref="I5:L6">
    <cfRule type="containsBlanks" dxfId="1" priority="2">
      <formula>LEN(TRIM(I5))=0</formula>
    </cfRule>
  </conditionalFormatting>
  <conditionalFormatting sqref="I10:M10">
    <cfRule type="containsBlanks" dxfId="0" priority="1">
      <formula>LEN(TRIM(I10))=0</formula>
    </cfRule>
  </conditionalFormatting>
  <dataValidations count="1">
    <dataValidation allowBlank="1" showInputMessage="1" showErrorMessage="1" sqref="B15:M15 F5:M14 D5:E8 B4:C8 B9:E14" xr:uid="{00000000-0002-0000-0700-000000000000}"/>
  </dataValidations>
  <pageMargins left="0.1653125" right="0.75" top="0.8125" bottom="1" header="0.5" footer="0.5"/>
  <pageSetup paperSize="9" scale="48" orientation="portrait" horizontalDpi="1200" verticalDpi="1200" r:id="rId1"/>
  <headerFooter alignWithMargins="0">
    <oddHeader>&amp;L&amp;"System Font,Regular"&amp;K000000Practice Venture Worksheet</oddHeader>
    <oddFooter>&amp;L© 2018 Wadhwani Foundation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B9F7A01D7B75E42AC573E181E2BF2AA" ma:contentTypeVersion="15" ma:contentTypeDescription="Create a new document." ma:contentTypeScope="" ma:versionID="70d6a3db8d62e08de261444429dd904a">
  <xsd:schema xmlns:xsd="http://www.w3.org/2001/XMLSchema" xmlns:xs="http://www.w3.org/2001/XMLSchema" xmlns:p="http://schemas.microsoft.com/office/2006/metadata/properties" xmlns:ns2="08998241-ad0c-439b-a306-7613f30e0267" xmlns:ns3="234b9263-f1bd-413a-a065-3e9b620972e0" targetNamespace="http://schemas.microsoft.com/office/2006/metadata/properties" ma:root="true" ma:fieldsID="82acd641a368237cbd9a56415e32268c" ns2:_="" ns3:_="">
    <xsd:import namespace="08998241-ad0c-439b-a306-7613f30e0267"/>
    <xsd:import namespace="234b9263-f1bd-413a-a065-3e9b620972e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998241-ad0c-439b-a306-7613f30e0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946087a-6933-4ded-9d62-3e077cd2144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34b9263-f1bd-413a-a065-3e9b620972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435d70d-b884-4fca-8225-7df0c3fbebff}" ma:internalName="TaxCatchAll" ma:showField="CatchAllData" ma:web="234b9263-f1bd-413a-a065-3e9b620972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B24B4D-9EE9-41AA-90D7-5546F5FF95E8}">
  <ds:schemaRefs>
    <ds:schemaRef ds:uri="http://schemas.microsoft.com/office/2006/metadata/longProperties"/>
  </ds:schemaRefs>
</ds:datastoreItem>
</file>

<file path=customXml/itemProps2.xml><?xml version="1.0" encoding="utf-8"?>
<ds:datastoreItem xmlns:ds="http://schemas.openxmlformats.org/officeDocument/2006/customXml" ds:itemID="{E4298225-6C2C-4BE9-8BD5-758C976BDF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998241-ad0c-439b-a306-7613f30e0267"/>
    <ds:schemaRef ds:uri="234b9263-f1bd-413a-a065-3e9b620972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6B6705-D426-4EBF-B292-E42C5577B8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Instructions</vt:lpstr>
      <vt:lpstr>1. Startup Costs</vt:lpstr>
      <vt:lpstr>2. Forecast P&amp;L</vt:lpstr>
      <vt:lpstr>3. Cash Flow</vt:lpstr>
      <vt:lpstr>4. Balance Sheet</vt:lpstr>
      <vt:lpstr>5. Break-Even Analysis</vt:lpstr>
      <vt:lpstr>6. COGS Calculator</vt:lpstr>
      <vt:lpstr>7. Salaries</vt:lpstr>
      <vt:lpstr>'1. Startup Costs'!Print_Area</vt:lpstr>
      <vt:lpstr>'2. Forecast P&amp;L'!Print_Area</vt:lpstr>
      <vt:lpstr>'3. Cash Flow'!Print_Area</vt:lpstr>
      <vt:lpstr>'4. Balance Sheet'!Print_Area</vt:lpstr>
      <vt:lpstr>'5. Break-Even Analysis'!Print_Area</vt:lpstr>
      <vt:lpstr>'6. COGS Calculator'!Print_Area</vt:lpstr>
      <vt:lpstr>'7. Salaries'!Print_Area</vt:lpstr>
      <vt:lpstr>Instructions!Print_Area</vt:lpstr>
    </vt:vector>
  </TitlesOfParts>
  <Manager/>
  <Company>Commonwealth Bank of Australia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 white agency</dc:creator>
  <cp:keywords/>
  <dc:description/>
  <cp:lastModifiedBy>Siddhi Nyati</cp:lastModifiedBy>
  <cp:revision/>
  <dcterms:created xsi:type="dcterms:W3CDTF">2007-07-23T04:50:59Z</dcterms:created>
  <dcterms:modified xsi:type="dcterms:W3CDTF">2025-11-11T21:10:27Z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WFNEN-1822007913-16588</vt:lpwstr>
  </property>
  <property fmtid="{D5CDD505-2E9C-101B-9397-08002B2CF9AE}" pid="3" name="_dlc_DocIdItemGuid">
    <vt:lpwstr>782deba4-cbcf-461e-bd6b-d1a727226599</vt:lpwstr>
  </property>
  <property fmtid="{D5CDD505-2E9C-101B-9397-08002B2CF9AE}" pid="4" name="_dlc_DocIdUrl">
    <vt:lpwstr>https://wadhwanifoundation.sharepoint.com/sites/nen-content/_layouts/15/DocIdRedir.aspx?ID=WFNEN-1822007913-16588, WFNEN-1822007913-16588</vt:lpwstr>
  </property>
  <property fmtid="{D5CDD505-2E9C-101B-9397-08002B2CF9AE}" pid="5" name="display_urn:schemas-microsoft-com:office:office#Editor">
    <vt:lpwstr>Niharika Gaur</vt:lpwstr>
  </property>
  <property fmtid="{D5CDD505-2E9C-101B-9397-08002B2CF9AE}" pid="6" name="Order">
    <vt:lpwstr>216600.000000000</vt:lpwstr>
  </property>
  <property fmtid="{D5CDD505-2E9C-101B-9397-08002B2CF9AE}" pid="7" name="SharedWithUsers">
    <vt:lpwstr/>
  </property>
  <property fmtid="{D5CDD505-2E9C-101B-9397-08002B2CF9AE}" pid="8" name="_ExtendedDescription">
    <vt:lpwstr/>
  </property>
  <property fmtid="{D5CDD505-2E9C-101B-9397-08002B2CF9AE}" pid="9" name="display_urn:schemas-microsoft-com:office:office#Author">
    <vt:lpwstr>Niharika Gaur</vt:lpwstr>
  </property>
  <property fmtid="{D5CDD505-2E9C-101B-9397-08002B2CF9AE}" pid="10" name="ComplianceAssetId">
    <vt:lpwstr/>
  </property>
  <property fmtid="{D5CDD505-2E9C-101B-9397-08002B2CF9AE}" pid="11" name="TriggerFlowInfo">
    <vt:lpwstr/>
  </property>
  <property fmtid="{D5CDD505-2E9C-101B-9397-08002B2CF9AE}" pid="12" name="ContentTypeId">
    <vt:lpwstr>0x0101000A4E8E3A70DDC14282450C771FA7D909</vt:lpwstr>
  </property>
  <property fmtid="{D5CDD505-2E9C-101B-9397-08002B2CF9AE}" pid="13" name="_SourceUrl">
    <vt:lpwstr/>
  </property>
  <property fmtid="{D5CDD505-2E9C-101B-9397-08002B2CF9AE}" pid="14" name="_SharedFileIndex">
    <vt:lpwstr/>
  </property>
  <property fmtid="{D5CDD505-2E9C-101B-9397-08002B2CF9AE}" pid="15" name="MediaLengthInSeconds">
    <vt:lpwstr/>
  </property>
</Properties>
</file>